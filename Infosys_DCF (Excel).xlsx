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\Desktop\Ridhima - DCF\"/>
    </mc:Choice>
  </mc:AlternateContent>
  <xr:revisionPtr revIDLastSave="0" documentId="13_ncr:1_{BA5E23A0-7835-4620-BA0F-00C6144DDAA2}" xr6:coauthVersionLast="47" xr6:coauthVersionMax="47" xr10:uidLastSave="{00000000-0000-0000-0000-000000000000}"/>
  <bookViews>
    <workbookView xWindow="0" yWindow="1340" windowWidth="14400" windowHeight="7270" tabRatio="500" xr2:uid="{00000000-000D-0000-FFFF-FFFF00000000}"/>
  </bookViews>
  <sheets>
    <sheet name="DCF" sheetId="1" r:id="rId1"/>
    <sheet name="Profit &amp; Loss" sheetId="2" r:id="rId2"/>
    <sheet name="Quarters" sheetId="3" r:id="rId3"/>
    <sheet name="Balance Sheet" sheetId="4" r:id="rId4"/>
    <sheet name="Cash Flow" sheetId="5" r:id="rId5"/>
    <sheet name="Data Sheet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73" i="1" l="1"/>
  <c r="B6" i="7" a="1"/>
  <c r="B6" i="7" s="1"/>
  <c r="E1" i="7" a="1"/>
  <c r="E1" i="7" s="1"/>
  <c r="K7" i="5" a="1"/>
  <c r="K7" i="5" s="1"/>
  <c r="J7" i="5" a="1"/>
  <c r="J7" i="5" s="1"/>
  <c r="I7" i="5" a="1"/>
  <c r="I7" i="5"/>
  <c r="H7" i="5" a="1"/>
  <c r="H7" i="5" s="1"/>
  <c r="G7" i="5" a="1"/>
  <c r="G7" i="5" s="1"/>
  <c r="F7" i="5" a="1"/>
  <c r="F7" i="5" s="1"/>
  <c r="E7" i="5" a="1"/>
  <c r="E7" i="5"/>
  <c r="D7" i="5" a="1"/>
  <c r="D7" i="5" s="1"/>
  <c r="C7" i="5" a="1"/>
  <c r="C7" i="5" s="1"/>
  <c r="B7" i="5" a="1"/>
  <c r="B7" i="5" s="1"/>
  <c r="K6" i="5" a="1"/>
  <c r="K6" i="5" s="1"/>
  <c r="J6" i="5" a="1"/>
  <c r="J6" i="5" s="1"/>
  <c r="I6" i="5" a="1"/>
  <c r="I6" i="5"/>
  <c r="H6" i="5" a="1"/>
  <c r="H6" i="5" s="1"/>
  <c r="G6" i="5" a="1"/>
  <c r="G6" i="5" s="1"/>
  <c r="F6" i="5" a="1"/>
  <c r="F6" i="5" s="1"/>
  <c r="E6" i="5" a="1"/>
  <c r="E6" i="5" s="1"/>
  <c r="D6" i="5" a="1"/>
  <c r="D6" i="5" s="1"/>
  <c r="C6" i="5" a="1"/>
  <c r="C6" i="5"/>
  <c r="B6" i="5" a="1"/>
  <c r="B6" i="5" s="1"/>
  <c r="K5" i="5" a="1"/>
  <c r="K5" i="5"/>
  <c r="J5" i="5" a="1"/>
  <c r="J5" i="5" s="1"/>
  <c r="I5" i="5" a="1"/>
  <c r="I5" i="5" s="1"/>
  <c r="H5" i="5" a="1"/>
  <c r="H5" i="5" s="1"/>
  <c r="G5" i="5" a="1"/>
  <c r="G5" i="5" s="1"/>
  <c r="F5" i="5" a="1"/>
  <c r="F5" i="5" s="1"/>
  <c r="E5" i="5" a="1"/>
  <c r="E5" i="5" s="1"/>
  <c r="D5" i="5" a="1"/>
  <c r="D5" i="5" s="1"/>
  <c r="C5" i="5" a="1"/>
  <c r="C5" i="5" s="1"/>
  <c r="B5" i="5" a="1"/>
  <c r="B5" i="5" s="1"/>
  <c r="K4" i="5" a="1"/>
  <c r="K4" i="5"/>
  <c r="J4" i="5" a="1"/>
  <c r="J4" i="5" s="1"/>
  <c r="I4" i="5" a="1"/>
  <c r="I4" i="5" s="1"/>
  <c r="H4" i="5" a="1"/>
  <c r="H4" i="5" s="1"/>
  <c r="G4" i="5" a="1"/>
  <c r="G4" i="5" s="1"/>
  <c r="F4" i="5" a="1"/>
  <c r="F4" i="5" s="1"/>
  <c r="E4" i="5" a="1"/>
  <c r="E4" i="5" s="1"/>
  <c r="D4" i="5" a="1"/>
  <c r="D4" i="5" s="1"/>
  <c r="C4" i="5" a="1"/>
  <c r="C4" i="5" s="1"/>
  <c r="B4" i="5" a="1"/>
  <c r="B4" i="5" s="1"/>
  <c r="K3" i="5" a="1"/>
  <c r="K3" i="5" s="1"/>
  <c r="J3" i="5" a="1"/>
  <c r="J3" i="5" s="1"/>
  <c r="I3" i="5" a="1"/>
  <c r="I3" i="5"/>
  <c r="H3" i="5" a="1"/>
  <c r="H3" i="5" s="1"/>
  <c r="G3" i="5" a="1"/>
  <c r="G3" i="5" s="1"/>
  <c r="F3" i="5" a="1"/>
  <c r="F3" i="5" s="1"/>
  <c r="E3" i="5" a="1"/>
  <c r="E3" i="5" s="1"/>
  <c r="D3" i="5" a="1"/>
  <c r="D3" i="5" s="1"/>
  <c r="C3" i="5" a="1"/>
  <c r="C3" i="5" s="1"/>
  <c r="B3" i="5" a="1"/>
  <c r="B3" i="5" s="1"/>
  <c r="K18" i="4"/>
  <c r="K21" i="4" s="1" a="1"/>
  <c r="K21" i="4" s="1"/>
  <c r="J18" i="4"/>
  <c r="J21" i="4" s="1" a="1"/>
  <c r="J21" i="4" s="1"/>
  <c r="I18" i="4"/>
  <c r="I21" i="4" s="1" a="1"/>
  <c r="I21" i="4" s="1"/>
  <c r="H18" i="4"/>
  <c r="H21" i="4" s="1" a="1"/>
  <c r="H21" i="4" s="1"/>
  <c r="G18" i="4"/>
  <c r="G21" i="4" s="1" a="1"/>
  <c r="G21" i="4" s="1"/>
  <c r="F18" i="4"/>
  <c r="F21" i="4" s="1" a="1"/>
  <c r="F21" i="4" s="1"/>
  <c r="E18" i="4"/>
  <c r="E21" i="4" s="1" a="1"/>
  <c r="E21" i="4" s="1"/>
  <c r="D18" i="4"/>
  <c r="D21" i="4" s="1" a="1"/>
  <c r="D21" i="4" s="1"/>
  <c r="C18" i="4"/>
  <c r="C21" i="4" s="1" a="1"/>
  <c r="C21" i="4" s="1"/>
  <c r="B18" i="4"/>
  <c r="B21" i="4" s="1" a="1"/>
  <c r="B21" i="4" s="1"/>
  <c r="K17" i="4" a="1"/>
  <c r="K17" i="4" s="1"/>
  <c r="J17" i="4" a="1"/>
  <c r="J17" i="4" s="1"/>
  <c r="I17" i="4" a="1"/>
  <c r="I17" i="4" s="1"/>
  <c r="H17" i="4" a="1"/>
  <c r="H17" i="4" s="1"/>
  <c r="G17" i="4" a="1"/>
  <c r="G17" i="4" s="1"/>
  <c r="F17" i="4" a="1"/>
  <c r="F17" i="4" s="1"/>
  <c r="E17" i="4" a="1"/>
  <c r="E17" i="4" s="1"/>
  <c r="D17" i="4" a="1"/>
  <c r="D17" i="4" s="1"/>
  <c r="C17" i="4" a="1"/>
  <c r="C17" i="4" s="1"/>
  <c r="B17" i="4" a="1"/>
  <c r="B17" i="4" s="1"/>
  <c r="H16" i="4" a="1"/>
  <c r="G16" i="4" a="1"/>
  <c r="K14" i="4" a="1"/>
  <c r="K14" i="4" s="1"/>
  <c r="J14" i="4" a="1"/>
  <c r="J14" i="4" s="1"/>
  <c r="I14" i="4" a="1"/>
  <c r="I14" i="4" s="1"/>
  <c r="H14" i="4" a="1"/>
  <c r="H14" i="4" s="1"/>
  <c r="G14" i="4" a="1"/>
  <c r="G14" i="4" s="1"/>
  <c r="F14" i="4" a="1"/>
  <c r="F14" i="4" s="1"/>
  <c r="E14" i="4" a="1"/>
  <c r="E14" i="4" s="1"/>
  <c r="D14" i="4" a="1"/>
  <c r="D14" i="4" s="1"/>
  <c r="C14" i="4" a="1"/>
  <c r="C14" i="4" s="1"/>
  <c r="B14" i="4" a="1"/>
  <c r="B14" i="4" s="1"/>
  <c r="K13" i="4" a="1"/>
  <c r="K13" i="4" s="1"/>
  <c r="J13" i="4" a="1"/>
  <c r="J13" i="4" s="1"/>
  <c r="I13" i="4" a="1"/>
  <c r="I13" i="4" s="1"/>
  <c r="H13" i="4" a="1"/>
  <c r="H13" i="4" s="1"/>
  <c r="G13" i="4" a="1"/>
  <c r="G13" i="4" s="1"/>
  <c r="F13" i="4" a="1"/>
  <c r="F13" i="4" s="1"/>
  <c r="F16" i="4" s="1" a="1"/>
  <c r="E13" i="4" a="1"/>
  <c r="E13" i="4" s="1"/>
  <c r="E16" i="4" s="1" a="1"/>
  <c r="D13" i="4" a="1"/>
  <c r="D13" i="4" s="1"/>
  <c r="C13" i="4" a="1"/>
  <c r="C13" i="4" s="1"/>
  <c r="C16" i="4" s="1" a="1"/>
  <c r="B13" i="4" a="1"/>
  <c r="B13" i="4" s="1"/>
  <c r="B16" i="4" s="1" a="1"/>
  <c r="K12" i="4" a="1"/>
  <c r="K12" i="4" s="1"/>
  <c r="J12" i="4" a="1"/>
  <c r="J12" i="4" s="1"/>
  <c r="I12" i="4" a="1"/>
  <c r="I12" i="4" s="1"/>
  <c r="H12" i="4" a="1"/>
  <c r="H12" i="4" s="1"/>
  <c r="G12" i="4" a="1"/>
  <c r="G12" i="4" s="1"/>
  <c r="F12" i="4" a="1"/>
  <c r="F12" i="4" s="1"/>
  <c r="E12" i="4" a="1"/>
  <c r="E12" i="4" s="1"/>
  <c r="D12" i="4" a="1"/>
  <c r="D12" i="4" s="1"/>
  <c r="C12" i="4" a="1"/>
  <c r="C12" i="4" s="1"/>
  <c r="B12" i="4" a="1"/>
  <c r="B12" i="4" s="1"/>
  <c r="K11" i="4" a="1"/>
  <c r="K11" i="4" s="1"/>
  <c r="J11" i="4" a="1"/>
  <c r="J11" i="4" s="1"/>
  <c r="I11" i="4" a="1"/>
  <c r="I11" i="4" s="1"/>
  <c r="H11" i="4" a="1"/>
  <c r="H11" i="4" s="1"/>
  <c r="G11" i="4" a="1"/>
  <c r="G11" i="4" s="1"/>
  <c r="F11" i="4" a="1"/>
  <c r="F11" i="4" s="1"/>
  <c r="E11" i="4" a="1"/>
  <c r="E11" i="4" s="1"/>
  <c r="D11" i="4" a="1"/>
  <c r="D11" i="4" s="1"/>
  <c r="C11" i="4" a="1"/>
  <c r="C11" i="4" s="1"/>
  <c r="B11" i="4" a="1"/>
  <c r="B11" i="4" s="1"/>
  <c r="K10" i="4" a="1"/>
  <c r="K10" i="4" s="1"/>
  <c r="J10" i="4" a="1"/>
  <c r="J10" i="4" s="1"/>
  <c r="I10" i="4" a="1"/>
  <c r="I10" i="4" s="1"/>
  <c r="H10" i="4" a="1"/>
  <c r="H10" i="4" s="1"/>
  <c r="G10" i="4" a="1"/>
  <c r="G10" i="4" s="1"/>
  <c r="F10" i="4" a="1"/>
  <c r="F10" i="4" s="1"/>
  <c r="E10" i="4" a="1"/>
  <c r="E10" i="4" s="1"/>
  <c r="D10" i="4" a="1"/>
  <c r="D10" i="4" s="1"/>
  <c r="C10" i="4" a="1"/>
  <c r="C10" i="4" s="1"/>
  <c r="B10" i="4" a="1"/>
  <c r="B10" i="4" s="1"/>
  <c r="K8" i="4" a="1"/>
  <c r="K8" i="4" s="1"/>
  <c r="J8" i="4" a="1"/>
  <c r="J8" i="4" s="1"/>
  <c r="I8" i="4" a="1"/>
  <c r="I8" i="4" s="1"/>
  <c r="H8" i="4" a="1"/>
  <c r="H8" i="4" s="1"/>
  <c r="G8" i="4" a="1"/>
  <c r="G8" i="4" s="1"/>
  <c r="F8" i="4" a="1"/>
  <c r="F8" i="4" s="1"/>
  <c r="E8" i="4" a="1"/>
  <c r="E8" i="4" s="1"/>
  <c r="D8" i="4" a="1"/>
  <c r="D8" i="4" s="1"/>
  <c r="C8" i="4" a="1"/>
  <c r="C8" i="4" s="1"/>
  <c r="B8" i="4" a="1"/>
  <c r="B8" i="4" s="1"/>
  <c r="K7" i="4" a="1"/>
  <c r="K7" i="4" s="1"/>
  <c r="J7" i="4" a="1"/>
  <c r="J7" i="4" s="1"/>
  <c r="I7" i="4" a="1"/>
  <c r="I7" i="4" s="1"/>
  <c r="I16" i="4" s="1" a="1"/>
  <c r="I16" i="4" s="1"/>
  <c r="H7" i="4" a="1"/>
  <c r="H7" i="4" s="1"/>
  <c r="G7" i="4" a="1"/>
  <c r="G7" i="4" s="1"/>
  <c r="F7" i="4" a="1"/>
  <c r="F7" i="4" s="1"/>
  <c r="E7" i="4" a="1"/>
  <c r="E7" i="4" s="1"/>
  <c r="D7" i="4" a="1"/>
  <c r="D7" i="4" s="1"/>
  <c r="C7" i="4" a="1"/>
  <c r="C7" i="4" s="1"/>
  <c r="B7" i="4" a="1"/>
  <c r="B7" i="4" s="1"/>
  <c r="K6" i="4" a="1"/>
  <c r="K6" i="4" s="1"/>
  <c r="J6" i="4" a="1"/>
  <c r="J6" i="4" s="1"/>
  <c r="I6" i="4" a="1"/>
  <c r="I6" i="4" s="1"/>
  <c r="H6" i="4" a="1"/>
  <c r="H6" i="4" s="1"/>
  <c r="G6" i="4" a="1"/>
  <c r="G6" i="4" s="1"/>
  <c r="F6" i="4" a="1"/>
  <c r="F6" i="4" s="1"/>
  <c r="E6" i="4" a="1"/>
  <c r="E6" i="4" s="1"/>
  <c r="D6" i="4"/>
  <c r="C6" i="4"/>
  <c r="B6" i="4"/>
  <c r="K5" i="4" a="1"/>
  <c r="K5" i="4" s="1"/>
  <c r="J5" i="4" a="1"/>
  <c r="J5" i="4" s="1"/>
  <c r="I5" i="4" a="1"/>
  <c r="I5" i="4" s="1"/>
  <c r="H5" i="4" a="1"/>
  <c r="H5" i="4" s="1"/>
  <c r="G5" i="4" a="1"/>
  <c r="G5" i="4"/>
  <c r="F5" i="4" a="1"/>
  <c r="F5" i="4"/>
  <c r="E5" i="4" a="1"/>
  <c r="E5" i="4" s="1"/>
  <c r="D5" i="4" a="1"/>
  <c r="D5" i="4" s="1"/>
  <c r="C5" i="4" a="1"/>
  <c r="C5" i="4" s="1"/>
  <c r="B5" i="4" a="1"/>
  <c r="B5" i="4" s="1"/>
  <c r="K4" i="4" a="1"/>
  <c r="K4" i="4" s="1"/>
  <c r="J4" i="4" a="1"/>
  <c r="J4" i="4" s="1"/>
  <c r="I4" i="4" a="1"/>
  <c r="I4" i="4" s="1"/>
  <c r="H4" i="4" a="1"/>
  <c r="H4" i="4" s="1"/>
  <c r="G4" i="4" a="1"/>
  <c r="G4" i="4"/>
  <c r="F4" i="4" a="1"/>
  <c r="F4" i="4" s="1"/>
  <c r="E4" i="4" a="1"/>
  <c r="E4" i="4" s="1"/>
  <c r="D4" i="4" a="1"/>
  <c r="D4" i="4"/>
  <c r="C4" i="4" a="1"/>
  <c r="C4" i="4" s="1"/>
  <c r="B4" i="4" a="1"/>
  <c r="B4" i="4"/>
  <c r="K3" i="4" a="1"/>
  <c r="K3" i="4"/>
  <c r="J3" i="4" a="1"/>
  <c r="J3" i="4"/>
  <c r="I3" i="4" a="1"/>
  <c r="I3" i="4" s="1"/>
  <c r="H3" i="4" a="1"/>
  <c r="H3" i="4" s="1"/>
  <c r="G3" i="4" a="1"/>
  <c r="G3" i="4" s="1"/>
  <c r="F3" i="4" a="1"/>
  <c r="F3" i="4"/>
  <c r="E3" i="4" a="1"/>
  <c r="E3" i="4" s="1"/>
  <c r="D3" i="4" a="1"/>
  <c r="D3" i="4"/>
  <c r="C3" i="4" a="1"/>
  <c r="C3" i="4" s="1"/>
  <c r="B3" i="4" a="1"/>
  <c r="B3" i="4"/>
  <c r="K12" i="3" a="1"/>
  <c r="K12" i="3" s="1"/>
  <c r="J12" i="3" a="1"/>
  <c r="J12" i="3" s="1"/>
  <c r="I12" i="3" a="1"/>
  <c r="I12" i="3" s="1"/>
  <c r="H12" i="3" a="1"/>
  <c r="H12" i="3" s="1"/>
  <c r="G12" i="3" a="1"/>
  <c r="G12" i="3"/>
  <c r="F12" i="3" a="1"/>
  <c r="F12" i="3" s="1"/>
  <c r="E12" i="3" a="1"/>
  <c r="E12" i="3" s="1"/>
  <c r="D12" i="3" a="1"/>
  <c r="D12" i="3" s="1"/>
  <c r="C12" i="3" a="1"/>
  <c r="C12" i="3" s="1"/>
  <c r="B12" i="3" a="1"/>
  <c r="B12" i="3" s="1"/>
  <c r="K11" i="3" a="1"/>
  <c r="K11" i="3" s="1"/>
  <c r="J11" i="3" a="1"/>
  <c r="J11" i="3" s="1"/>
  <c r="I11" i="3" a="1"/>
  <c r="I11" i="3" s="1"/>
  <c r="H11" i="3" a="1"/>
  <c r="H11" i="3" s="1"/>
  <c r="G11" i="3" a="1"/>
  <c r="G11" i="3" s="1"/>
  <c r="F11" i="3" a="1"/>
  <c r="F11" i="3" s="1"/>
  <c r="E11" i="3" a="1"/>
  <c r="E11" i="3" s="1"/>
  <c r="D11" i="3" a="1"/>
  <c r="D11" i="3" s="1"/>
  <c r="C11" i="3" a="1"/>
  <c r="C11" i="3" s="1"/>
  <c r="B11" i="3" a="1"/>
  <c r="B11" i="3" s="1"/>
  <c r="K10" i="3" a="1"/>
  <c r="K10" i="3" s="1"/>
  <c r="J10" i="3" a="1"/>
  <c r="J10" i="3" s="1"/>
  <c r="I10" i="3" a="1"/>
  <c r="I10" i="3" s="1"/>
  <c r="H10" i="3" a="1"/>
  <c r="H10" i="3"/>
  <c r="G10" i="3" a="1"/>
  <c r="G10" i="3" s="1"/>
  <c r="F10" i="3" a="1"/>
  <c r="F10" i="3" s="1"/>
  <c r="E10" i="3" a="1"/>
  <c r="E10" i="3" s="1"/>
  <c r="D10" i="3" a="1"/>
  <c r="D10" i="3" s="1"/>
  <c r="C10" i="3" a="1"/>
  <c r="C10" i="3" s="1"/>
  <c r="B10" i="3" a="1"/>
  <c r="B10" i="3"/>
  <c r="K9" i="3" a="1"/>
  <c r="K9" i="3" s="1"/>
  <c r="J9" i="3" a="1"/>
  <c r="J9" i="3"/>
  <c r="I9" i="3" a="1"/>
  <c r="I9" i="3" s="1"/>
  <c r="H9" i="3" a="1"/>
  <c r="H9" i="3" s="1"/>
  <c r="G9" i="3" a="1"/>
  <c r="G9" i="3" s="1"/>
  <c r="F9" i="3" a="1"/>
  <c r="F9" i="3" s="1"/>
  <c r="E9" i="3" a="1"/>
  <c r="E9" i="3" s="1"/>
  <c r="D9" i="3" a="1"/>
  <c r="D9" i="3"/>
  <c r="C9" i="3" a="1"/>
  <c r="C9" i="3" s="1"/>
  <c r="B9" i="3" a="1"/>
  <c r="B9" i="3" s="1"/>
  <c r="K8" i="3" a="1"/>
  <c r="K8" i="3" s="1"/>
  <c r="J8" i="3" a="1"/>
  <c r="J8" i="3" s="1"/>
  <c r="I8" i="3" a="1"/>
  <c r="I8" i="3" s="1"/>
  <c r="H8" i="3" a="1"/>
  <c r="H8" i="3" s="1"/>
  <c r="G8" i="3" a="1"/>
  <c r="G8" i="3" s="1"/>
  <c r="F8" i="3" a="1"/>
  <c r="F8" i="3" s="1"/>
  <c r="E8" i="3" a="1"/>
  <c r="E8" i="3" s="1"/>
  <c r="D8" i="3" a="1"/>
  <c r="D8" i="3"/>
  <c r="C8" i="3" a="1"/>
  <c r="C8" i="3"/>
  <c r="B8" i="3" a="1"/>
  <c r="B8" i="3" s="1"/>
  <c r="K7" i="3" a="1"/>
  <c r="K7" i="3" s="1"/>
  <c r="J7" i="3" a="1"/>
  <c r="J7" i="3"/>
  <c r="I7" i="3" a="1"/>
  <c r="I7" i="3" s="1"/>
  <c r="H7" i="3" a="1"/>
  <c r="H7" i="3" s="1"/>
  <c r="G7" i="3" a="1"/>
  <c r="G7" i="3"/>
  <c r="F7" i="3" a="1"/>
  <c r="F7" i="3"/>
  <c r="E7" i="3" a="1"/>
  <c r="E7" i="3" s="1"/>
  <c r="D7" i="3" a="1"/>
  <c r="D7" i="3" s="1"/>
  <c r="C7" i="3" a="1"/>
  <c r="C7" i="3" s="1"/>
  <c r="B7" i="3" a="1"/>
  <c r="B7" i="3" s="1"/>
  <c r="K6" i="3" a="1"/>
  <c r="K6" i="3" s="1"/>
  <c r="J6" i="3" a="1"/>
  <c r="J6" i="3" s="1"/>
  <c r="I6" i="3" a="1"/>
  <c r="I6" i="3" s="1"/>
  <c r="H6" i="3" a="1"/>
  <c r="H6" i="3" s="1"/>
  <c r="G6" i="3" a="1"/>
  <c r="G6" i="3"/>
  <c r="F6" i="3" a="1"/>
  <c r="F6" i="3"/>
  <c r="E6" i="3" a="1"/>
  <c r="E6" i="3"/>
  <c r="D6" i="3" a="1"/>
  <c r="D6" i="3" s="1"/>
  <c r="C6" i="3" a="1"/>
  <c r="C6" i="3" s="1"/>
  <c r="B6" i="3" a="1"/>
  <c r="B6" i="3" s="1"/>
  <c r="K5" i="3" a="1"/>
  <c r="K5" i="3" s="1"/>
  <c r="J5" i="3" a="1"/>
  <c r="J5" i="3"/>
  <c r="I5" i="3" a="1"/>
  <c r="I5" i="3" s="1"/>
  <c r="H5" i="3" a="1"/>
  <c r="H5" i="3"/>
  <c r="G5" i="3" a="1"/>
  <c r="G5" i="3" s="1"/>
  <c r="F5" i="3" a="1"/>
  <c r="F5" i="3" s="1"/>
  <c r="E5" i="3" a="1"/>
  <c r="E5" i="3" s="1"/>
  <c r="D5" i="3" a="1"/>
  <c r="D5" i="3" s="1"/>
  <c r="C5" i="3" a="1"/>
  <c r="C5" i="3" s="1"/>
  <c r="B5" i="3" a="1"/>
  <c r="B5" i="3"/>
  <c r="K4" i="3" a="1"/>
  <c r="K4" i="3" s="1"/>
  <c r="J4" i="3" a="1"/>
  <c r="J4" i="3" s="1"/>
  <c r="I4" i="3" a="1"/>
  <c r="I4" i="3" s="1"/>
  <c r="H4" i="3" a="1"/>
  <c r="H4" i="3" s="1"/>
  <c r="G4" i="3" a="1"/>
  <c r="G4" i="3" s="1"/>
  <c r="F4" i="3" a="1"/>
  <c r="F4" i="3" s="1"/>
  <c r="E4" i="3" a="1"/>
  <c r="E4" i="3" s="1"/>
  <c r="D4" i="3" a="1"/>
  <c r="D4" i="3" s="1"/>
  <c r="C4" i="3" a="1"/>
  <c r="C4" i="3"/>
  <c r="C14" i="3" s="1" a="1"/>
  <c r="C14" i="3" s="1"/>
  <c r="B4" i="3" a="1"/>
  <c r="B4" i="3"/>
  <c r="K3" i="3" a="1"/>
  <c r="K3" i="3"/>
  <c r="J3" i="3" a="1"/>
  <c r="J3" i="3"/>
  <c r="I3" i="3" a="1"/>
  <c r="I3" i="3" s="1"/>
  <c r="H3" i="3" a="1"/>
  <c r="H3" i="3" s="1"/>
  <c r="G3" i="3" a="1"/>
  <c r="G3" i="3" s="1"/>
  <c r="F3" i="3" a="1"/>
  <c r="F3" i="3" s="1"/>
  <c r="E3" i="3" a="1"/>
  <c r="E3" i="3"/>
  <c r="D3" i="3" a="1"/>
  <c r="D3" i="3" s="1"/>
  <c r="C3" i="3" a="1"/>
  <c r="C3" i="3" s="1"/>
  <c r="B3" i="3" a="1"/>
  <c r="B3" i="3" s="1"/>
  <c r="E1" i="3" a="1"/>
  <c r="E1" i="3"/>
  <c r="F23" i="2" a="1"/>
  <c r="F23" i="2"/>
  <c r="L19" i="2" a="1"/>
  <c r="L19" i="2"/>
  <c r="K18" i="2" a="1"/>
  <c r="K18" i="2" s="1"/>
  <c r="J18" i="2" a="1"/>
  <c r="J18" i="2" s="1"/>
  <c r="I18" i="2" a="1"/>
  <c r="I18" i="2" s="1"/>
  <c r="H18" i="2" a="1"/>
  <c r="H18" i="2" s="1"/>
  <c r="G18" i="2" a="1"/>
  <c r="G18" i="2" s="1"/>
  <c r="F18" i="2" a="1"/>
  <c r="F18" i="2"/>
  <c r="E18" i="2" a="1"/>
  <c r="E18" i="2" s="1"/>
  <c r="D18" i="2" a="1"/>
  <c r="D18" i="2" s="1"/>
  <c r="C18" i="2" a="1"/>
  <c r="C18" i="2" s="1"/>
  <c r="B18" i="2" a="1"/>
  <c r="B18" i="2" s="1"/>
  <c r="L15" i="2" a="1"/>
  <c r="L15" i="2" s="1"/>
  <c r="K15" i="2" a="1"/>
  <c r="K15" i="2" s="1"/>
  <c r="J15" i="2" a="1"/>
  <c r="J15" i="2" s="1"/>
  <c r="I15" i="2" a="1"/>
  <c r="I15" i="2"/>
  <c r="H15" i="2" a="1"/>
  <c r="H15" i="2" s="1"/>
  <c r="G15" i="2" a="1"/>
  <c r="G15" i="2" s="1"/>
  <c r="F15" i="2" a="1"/>
  <c r="F15" i="2" s="1"/>
  <c r="E15" i="2" a="1"/>
  <c r="E15" i="2" s="1"/>
  <c r="D15" i="2" a="1"/>
  <c r="D15" i="2"/>
  <c r="C15" i="2" a="1"/>
  <c r="C15" i="2" s="1"/>
  <c r="B15" i="2" a="1"/>
  <c r="B15" i="2" s="1"/>
  <c r="L13" i="2" a="1"/>
  <c r="L13" i="2"/>
  <c r="L14" i="2" s="1" a="1"/>
  <c r="L14" i="2" s="1"/>
  <c r="F24" i="2" s="1" a="1"/>
  <c r="F24" i="2" s="1"/>
  <c r="K12" i="2" a="1"/>
  <c r="K12" i="2" s="1"/>
  <c r="K13" i="2" s="1" a="1"/>
  <c r="K13" i="2" s="1"/>
  <c r="J12" i="2" a="1"/>
  <c r="J12" i="2"/>
  <c r="J13" i="2" s="1" a="1"/>
  <c r="J13" i="2" s="1"/>
  <c r="I12" i="2" a="1"/>
  <c r="I12" i="2" s="1"/>
  <c r="H12" i="2" a="1"/>
  <c r="H12" i="2" s="1"/>
  <c r="H13" i="2" s="1" a="1"/>
  <c r="H13" i="2" s="1"/>
  <c r="G12" i="2" a="1"/>
  <c r="G12" i="2" s="1"/>
  <c r="G13" i="2" s="1" a="1"/>
  <c r="G13" i="2" s="1"/>
  <c r="F12" i="2" a="1"/>
  <c r="F12" i="2" s="1"/>
  <c r="F13" i="2" s="1" a="1"/>
  <c r="F13" i="2" s="1"/>
  <c r="E12" i="2" a="1"/>
  <c r="E12" i="2"/>
  <c r="E13" i="2" s="1" a="1"/>
  <c r="E13" i="2" s="1"/>
  <c r="D12" i="2" a="1"/>
  <c r="D12" i="2" s="1"/>
  <c r="D13" i="2" s="1" a="1"/>
  <c r="D13" i="2" s="1"/>
  <c r="C12" i="2" a="1"/>
  <c r="C12" i="2" s="1"/>
  <c r="C13" i="2" s="1" a="1"/>
  <c r="C13" i="2" s="1"/>
  <c r="B12" i="2" a="1"/>
  <c r="B12" i="2" s="1"/>
  <c r="B13" i="2" s="1" a="1"/>
  <c r="B13" i="2" s="1"/>
  <c r="N11" i="2" a="1"/>
  <c r="N11" i="2" s="1"/>
  <c r="M11" i="2" a="1"/>
  <c r="M11" i="2"/>
  <c r="K11" i="2" a="1"/>
  <c r="K11" i="2"/>
  <c r="J11" i="2" a="1"/>
  <c r="J11" i="2" s="1"/>
  <c r="I11" i="2" a="1"/>
  <c r="I11" i="2" s="1"/>
  <c r="H11" i="2" a="1"/>
  <c r="H11" i="2" s="1"/>
  <c r="G11" i="2" a="1"/>
  <c r="G11" i="2" s="1"/>
  <c r="F11" i="2" a="1"/>
  <c r="F11" i="2" s="1"/>
  <c r="E11" i="2" a="1"/>
  <c r="E11" i="2"/>
  <c r="D11" i="2" a="1"/>
  <c r="D11" i="2" s="1"/>
  <c r="C11" i="2" a="1"/>
  <c r="C11" i="2"/>
  <c r="B11" i="2" a="1"/>
  <c r="B11" i="2" s="1"/>
  <c r="K10" i="2" a="1"/>
  <c r="K10" i="2" s="1"/>
  <c r="J10" i="2" a="1"/>
  <c r="J10" i="2"/>
  <c r="I10" i="2" a="1"/>
  <c r="I10" i="2" s="1"/>
  <c r="H10" i="2" a="1"/>
  <c r="H10" i="2" s="1"/>
  <c r="G10" i="2" a="1"/>
  <c r="G10" i="2" s="1"/>
  <c r="F10" i="2" a="1"/>
  <c r="F10" i="2" s="1"/>
  <c r="E10" i="2" a="1"/>
  <c r="E10" i="2" s="1"/>
  <c r="D10" i="2" a="1"/>
  <c r="D10" i="2" s="1"/>
  <c r="C10" i="2" a="1"/>
  <c r="C10" i="2"/>
  <c r="B10" i="2" a="1"/>
  <c r="B10" i="2" s="1"/>
  <c r="N9" i="2"/>
  <c r="M9" i="2"/>
  <c r="K9" i="2" a="1"/>
  <c r="K9" i="2" s="1"/>
  <c r="J9" i="2" a="1"/>
  <c r="J9" i="2" s="1"/>
  <c r="I9" i="2" a="1"/>
  <c r="I9" i="2" s="1"/>
  <c r="H9" i="2" a="1"/>
  <c r="H9" i="2" s="1"/>
  <c r="G9" i="2" a="1"/>
  <c r="G9" i="2" s="1"/>
  <c r="F9" i="2" a="1"/>
  <c r="F9" i="2" s="1"/>
  <c r="E9" i="2" a="1"/>
  <c r="E9" i="2"/>
  <c r="D9" i="2"/>
  <c r="C9" i="2"/>
  <c r="B9" i="2"/>
  <c r="N8" i="2"/>
  <c r="M8" i="2"/>
  <c r="K8" i="2" a="1"/>
  <c r="K8" i="2" s="1"/>
  <c r="J8" i="2" a="1"/>
  <c r="J8" i="2" s="1"/>
  <c r="I8" i="2" a="1"/>
  <c r="I8" i="2" s="1"/>
  <c r="H8" i="2" a="1"/>
  <c r="H8" i="2" s="1"/>
  <c r="G8" i="2" a="1"/>
  <c r="G8" i="2" s="1"/>
  <c r="F8" i="2" a="1"/>
  <c r="F8" i="2" s="1"/>
  <c r="E8" i="2" a="1"/>
  <c r="E8" i="2"/>
  <c r="D8" i="2" a="1"/>
  <c r="D8" i="2" s="1"/>
  <c r="C8" i="2" a="1"/>
  <c r="C8" i="2" s="1"/>
  <c r="B8" i="2" a="1"/>
  <c r="B8" i="2" s="1"/>
  <c r="K7" i="2" a="1"/>
  <c r="K7" i="2" s="1"/>
  <c r="J7" i="2" a="1"/>
  <c r="J7" i="2" s="1"/>
  <c r="I7" i="2" a="1"/>
  <c r="I7" i="2" s="1"/>
  <c r="H7" i="2" a="1"/>
  <c r="H7" i="2"/>
  <c r="G7" i="2" a="1"/>
  <c r="G7" i="2"/>
  <c r="F7" i="2" a="1"/>
  <c r="F7" i="2" s="1"/>
  <c r="E7" i="2" a="1"/>
  <c r="E7" i="2" s="1"/>
  <c r="D7" i="2" a="1"/>
  <c r="D7" i="2" s="1"/>
  <c r="C7" i="2" a="1"/>
  <c r="C7" i="2"/>
  <c r="B7" i="2" a="1"/>
  <c r="B7" i="2" s="1"/>
  <c r="J6" i="2" a="1"/>
  <c r="G6" i="2" a="1"/>
  <c r="K5" i="2" a="1"/>
  <c r="K5" i="2" s="1"/>
  <c r="J5" i="2" a="1"/>
  <c r="J5" i="2" s="1"/>
  <c r="I5" i="2" a="1"/>
  <c r="I5" i="2"/>
  <c r="H5" i="2" a="1"/>
  <c r="H5" i="2" s="1"/>
  <c r="G5" i="2" a="1"/>
  <c r="G5" i="2" s="1"/>
  <c r="F5" i="2" a="1"/>
  <c r="F5" i="2" s="1"/>
  <c r="E5" i="2" a="1"/>
  <c r="E5" i="2" s="1"/>
  <c r="D5" i="2" a="1"/>
  <c r="D5" i="2" s="1"/>
  <c r="C5" i="2" a="1"/>
  <c r="C5" i="2" s="1"/>
  <c r="B5" i="2" a="1"/>
  <c r="B5" i="2" s="1"/>
  <c r="K4" i="2" a="1"/>
  <c r="K4" i="2" s="1"/>
  <c r="J4" i="2" a="1"/>
  <c r="J4" i="2" s="1"/>
  <c r="J20" i="4" s="1" a="1"/>
  <c r="J20" i="4" s="1"/>
  <c r="I4" i="2" a="1"/>
  <c r="I4" i="2" s="1"/>
  <c r="H4" i="2" a="1"/>
  <c r="H4" i="2" s="1"/>
  <c r="H20" i="4" s="1" a="1"/>
  <c r="H20" i="4" s="1"/>
  <c r="G4" i="2" a="1"/>
  <c r="G4" i="2"/>
  <c r="F4" i="2" a="1"/>
  <c r="F4" i="2" s="1"/>
  <c r="E4" i="2" a="1"/>
  <c r="E4" i="2" s="1"/>
  <c r="E20" i="4" s="1" a="1"/>
  <c r="E20" i="4" s="1"/>
  <c r="D4" i="2" a="1"/>
  <c r="D4" i="2" s="1"/>
  <c r="C4" i="2" a="1"/>
  <c r="C4" i="2" s="1"/>
  <c r="B4" i="2" a="1"/>
  <c r="B4" i="2" s="1"/>
  <c r="K3" i="2" a="1"/>
  <c r="K3" i="2" s="1"/>
  <c r="J3" i="2" a="1"/>
  <c r="J3" i="2" s="1"/>
  <c r="I3" i="2" a="1"/>
  <c r="I3" i="2"/>
  <c r="H3" i="2" a="1"/>
  <c r="H3" i="2" s="1"/>
  <c r="G3" i="2" a="1"/>
  <c r="G3" i="2" s="1"/>
  <c r="F3" i="2" a="1"/>
  <c r="F3" i="2"/>
  <c r="E3" i="2" a="1"/>
  <c r="E3" i="2" s="1"/>
  <c r="D3" i="2" a="1"/>
  <c r="D3" i="2" s="1"/>
  <c r="C3" i="2" a="1"/>
  <c r="C3" i="2" s="1"/>
  <c r="B3" i="2" a="1"/>
  <c r="B3" i="2" s="1"/>
  <c r="H1" i="2" a="1"/>
  <c r="H1" i="2" s="1"/>
  <c r="A1" i="2" a="1"/>
  <c r="A1" i="2"/>
  <c r="F116" i="1"/>
  <c r="E116" i="1"/>
  <c r="D116" i="1"/>
  <c r="C116" i="1"/>
  <c r="B116" i="1"/>
  <c r="B75" i="1"/>
  <c r="B32" i="1"/>
  <c r="B109" i="1" s="1"/>
  <c r="B31" i="1"/>
  <c r="B77" i="1" s="1"/>
  <c r="B30" i="1"/>
  <c r="B111" i="1" s="1"/>
  <c r="B3" i="1" s="1"/>
  <c r="G27" i="1"/>
  <c r="F27" i="1"/>
  <c r="E27" i="1"/>
  <c r="D27" i="1"/>
  <c r="C27" i="1"/>
  <c r="B27" i="1"/>
  <c r="G26" i="1"/>
  <c r="F26" i="1"/>
  <c r="E26" i="1"/>
  <c r="D26" i="1"/>
  <c r="C26" i="1"/>
  <c r="B26" i="1"/>
  <c r="G25" i="1"/>
  <c r="F25" i="1"/>
  <c r="E25" i="1"/>
  <c r="D25" i="1"/>
  <c r="C25" i="1"/>
  <c r="B25" i="1"/>
  <c r="G24" i="1"/>
  <c r="B107" i="1" s="1"/>
  <c r="F24" i="1"/>
  <c r="E24" i="1"/>
  <c r="D24" i="1"/>
  <c r="C24" i="1"/>
  <c r="B24" i="1"/>
  <c r="G23" i="1"/>
  <c r="F23" i="1"/>
  <c r="E23" i="1"/>
  <c r="D23" i="1"/>
  <c r="C23" i="1"/>
  <c r="B23" i="1"/>
  <c r="G22" i="1"/>
  <c r="F22" i="1"/>
  <c r="E22" i="1"/>
  <c r="D22" i="1"/>
  <c r="C22" i="1"/>
  <c r="B22" i="1"/>
  <c r="G21" i="1"/>
  <c r="F21" i="1"/>
  <c r="E21" i="1"/>
  <c r="D21" i="1"/>
  <c r="C21" i="1"/>
  <c r="B21" i="1"/>
  <c r="G20" i="1"/>
  <c r="B106" i="1" s="1"/>
  <c r="F20" i="1"/>
  <c r="E20" i="1"/>
  <c r="D20" i="1"/>
  <c r="C20" i="1"/>
  <c r="B20" i="1"/>
  <c r="G19" i="1"/>
  <c r="F19" i="1"/>
  <c r="E19" i="1"/>
  <c r="D19" i="1"/>
  <c r="C19" i="1"/>
  <c r="B19" i="1"/>
  <c r="G18" i="1"/>
  <c r="F18" i="1"/>
  <c r="E18" i="1"/>
  <c r="D18" i="1"/>
  <c r="C18" i="1"/>
  <c r="B18" i="1"/>
  <c r="G17" i="1"/>
  <c r="F17" i="1"/>
  <c r="E17" i="1"/>
  <c r="D17" i="1"/>
  <c r="C17" i="1"/>
  <c r="B17" i="1"/>
  <c r="G16" i="1"/>
  <c r="F16" i="1"/>
  <c r="E16" i="1"/>
  <c r="D16" i="1"/>
  <c r="C16" i="1"/>
  <c r="B16" i="1"/>
  <c r="G15" i="1"/>
  <c r="F15" i="1"/>
  <c r="E15" i="1"/>
  <c r="D15" i="1"/>
  <c r="C15" i="1"/>
  <c r="B15" i="1"/>
  <c r="G14" i="1"/>
  <c r="F14" i="1"/>
  <c r="E14" i="1"/>
  <c r="D14" i="1"/>
  <c r="C14" i="1"/>
  <c r="B14" i="1"/>
  <c r="G13" i="1"/>
  <c r="F13" i="1"/>
  <c r="F59" i="1" s="1"/>
  <c r="F63" i="1" s="1"/>
  <c r="E13" i="1"/>
  <c r="E59" i="1" s="1"/>
  <c r="E63" i="1" s="1"/>
  <c r="D13" i="1"/>
  <c r="D59" i="1" s="1"/>
  <c r="D63" i="1" s="1"/>
  <c r="C13" i="1"/>
  <c r="C59" i="1" s="1"/>
  <c r="C63" i="1" s="1"/>
  <c r="B13" i="1"/>
  <c r="B59" i="1" s="1"/>
  <c r="G12" i="1"/>
  <c r="F12" i="1"/>
  <c r="E12" i="1"/>
  <c r="D12" i="1"/>
  <c r="C12" i="1"/>
  <c r="B12" i="1"/>
  <c r="G10" i="1"/>
  <c r="F10" i="1"/>
  <c r="E10" i="1"/>
  <c r="D10" i="1"/>
  <c r="C10" i="1"/>
  <c r="B10" i="1"/>
  <c r="G9" i="1"/>
  <c r="F9" i="1"/>
  <c r="E9" i="1"/>
  <c r="D9" i="1"/>
  <c r="D57" i="1" s="1"/>
  <c r="C9" i="1"/>
  <c r="C57" i="1" s="1"/>
  <c r="B9" i="1"/>
  <c r="F40" i="1" l="1"/>
  <c r="F54" i="1" s="1"/>
  <c r="F43" i="1"/>
  <c r="F67" i="1" s="1"/>
  <c r="B40" i="1"/>
  <c r="B54" i="1" s="1"/>
  <c r="D40" i="1"/>
  <c r="D54" i="1" s="1"/>
  <c r="D43" i="1"/>
  <c r="D67" i="1" s="1"/>
  <c r="B16" i="4"/>
  <c r="E14" i="3" a="1"/>
  <c r="E14" i="3" s="1"/>
  <c r="G11" i="1"/>
  <c r="G58" i="1" s="1"/>
  <c r="B39" i="1"/>
  <c r="B51" i="1" s="1"/>
  <c r="E39" i="1"/>
  <c r="E51" i="1" s="1"/>
  <c r="E41" i="1"/>
  <c r="E42" i="1" s="1"/>
  <c r="E52" i="1" s="1"/>
  <c r="D35" i="1"/>
  <c r="D49" i="1" s="1"/>
  <c r="G20" i="4" a="1"/>
  <c r="G20" i="4" s="1"/>
  <c r="F14" i="3" a="1"/>
  <c r="F14" i="3" s="1"/>
  <c r="C39" i="1"/>
  <c r="C51" i="1" s="1"/>
  <c r="G14" i="3" a="1"/>
  <c r="G14" i="3" s="1"/>
  <c r="G6" i="2"/>
  <c r="G19" i="2" s="1" a="1"/>
  <c r="G19" i="2" s="1"/>
  <c r="E40" i="1"/>
  <c r="E54" i="1" s="1"/>
  <c r="E43" i="1"/>
  <c r="E44" i="1" s="1"/>
  <c r="E53" i="1" s="1"/>
  <c r="C23" i="4" a="1"/>
  <c r="C23" i="4" s="1"/>
  <c r="B14" i="2" a="1"/>
  <c r="B14" i="2" s="1"/>
  <c r="E23" i="4" a="1"/>
  <c r="E23" i="4" s="1"/>
  <c r="D39" i="1"/>
  <c r="D51" i="1" s="1"/>
  <c r="F14" i="2" a="1"/>
  <c r="F14" i="2" s="1"/>
  <c r="I14" i="3" a="1"/>
  <c r="I14" i="3" s="1"/>
  <c r="F20" i="4" a="1"/>
  <c r="F20" i="4" s="1"/>
  <c r="J14" i="3" a="1"/>
  <c r="J14" i="3" s="1"/>
  <c r="K14" i="3" a="1"/>
  <c r="K14" i="3" s="1"/>
  <c r="B11" i="1"/>
  <c r="B37" i="1" s="1"/>
  <c r="B38" i="1" s="1"/>
  <c r="B50" i="1" s="1"/>
  <c r="B57" i="1"/>
  <c r="G16" i="4"/>
  <c r="F41" i="1"/>
  <c r="E35" i="1"/>
  <c r="E49" i="1" s="1"/>
  <c r="H14" i="3" a="1"/>
  <c r="H14" i="3" s="1"/>
  <c r="C16" i="4"/>
  <c r="B74" i="1"/>
  <c r="B76" i="1" s="1"/>
  <c r="H14" i="2" a="1"/>
  <c r="H14" i="2" s="1"/>
  <c r="G14" i="2" a="1"/>
  <c r="G14" i="2" s="1"/>
  <c r="F16" i="4"/>
  <c r="K14" i="2" a="1"/>
  <c r="K14" i="2" s="1"/>
  <c r="D14" i="3" a="1"/>
  <c r="D14" i="3" s="1"/>
  <c r="G40" i="1"/>
  <c r="G54" i="1" s="1"/>
  <c r="B43" i="1"/>
  <c r="B67" i="1" s="1"/>
  <c r="H16" i="4"/>
  <c r="E16" i="4"/>
  <c r="D22" i="2" a="1"/>
  <c r="D22" i="2" s="1"/>
  <c r="J6" i="2"/>
  <c r="J19" i="2" s="1" a="1"/>
  <c r="J19" i="2" s="1"/>
  <c r="C40" i="1"/>
  <c r="C54" i="1" s="1"/>
  <c r="C41" i="1"/>
  <c r="C64" i="1" s="1"/>
  <c r="C43" i="1"/>
  <c r="C67" i="1" s="1"/>
  <c r="E57" i="1"/>
  <c r="E14" i="2" a="1"/>
  <c r="E14" i="2" s="1"/>
  <c r="F24" i="4" a="1"/>
  <c r="F24" i="4" s="1"/>
  <c r="D23" i="4" a="1"/>
  <c r="D23" i="4" s="1"/>
  <c r="E24" i="4" a="1"/>
  <c r="E24" i="4" s="1"/>
  <c r="F11" i="1"/>
  <c r="F35" i="1"/>
  <c r="F49" i="1" s="1"/>
  <c r="F57" i="1"/>
  <c r="F23" i="4" a="1"/>
  <c r="F23" i="4" s="1"/>
  <c r="B6" i="2" a="1"/>
  <c r="B6" i="2" s="1"/>
  <c r="B19" i="2" s="1" a="1"/>
  <c r="B19" i="2" s="1"/>
  <c r="B20" i="4" a="1"/>
  <c r="B20" i="4" s="1"/>
  <c r="B22" i="2" a="1"/>
  <c r="B22" i="2" s="1"/>
  <c r="K6" i="2" a="1"/>
  <c r="K6" i="2" s="1"/>
  <c r="K19" i="2" s="1" a="1"/>
  <c r="K19" i="2" s="1"/>
  <c r="F22" i="2" a="1"/>
  <c r="F22" i="2" s="1"/>
  <c r="K20" i="4" a="1"/>
  <c r="K20" i="4" s="1"/>
  <c r="I14" i="2" a="1"/>
  <c r="I14" i="2" s="1"/>
  <c r="G39" i="1"/>
  <c r="G51" i="1" s="1"/>
  <c r="G59" i="1"/>
  <c r="G63" i="1" s="1"/>
  <c r="B105" i="1"/>
  <c r="G43" i="1"/>
  <c r="A1" i="3" a="1"/>
  <c r="A1" i="3" s="1"/>
  <c r="A1" i="4" a="1"/>
  <c r="A1" i="4" s="1"/>
  <c r="A1" i="5" s="1" a="1"/>
  <c r="A1" i="5" s="1"/>
  <c r="K24" i="4" a="1"/>
  <c r="K24" i="4" s="1"/>
  <c r="J23" i="4" a="1"/>
  <c r="J23" i="4" s="1"/>
  <c r="G35" i="1"/>
  <c r="G49" i="1" s="1"/>
  <c r="G57" i="1"/>
  <c r="H57" i="1" s="1"/>
  <c r="C24" i="4" a="1"/>
  <c r="C24" i="4" s="1"/>
  <c r="G41" i="1"/>
  <c r="I20" i="4" a="1"/>
  <c r="I20" i="4" s="1"/>
  <c r="I6" i="2" a="1"/>
  <c r="I6" i="2" s="1"/>
  <c r="I19" i="2" s="1" a="1"/>
  <c r="I19" i="2" s="1"/>
  <c r="I13" i="2" a="1"/>
  <c r="I13" i="2" s="1"/>
  <c r="I23" i="4" a="1"/>
  <c r="I23" i="4" s="1"/>
  <c r="F39" i="1"/>
  <c r="F51" i="1" s="1"/>
  <c r="C14" i="2" a="1"/>
  <c r="C14" i="2" s="1"/>
  <c r="J14" i="2" a="1"/>
  <c r="J14" i="2" s="1"/>
  <c r="C20" i="4" a="1"/>
  <c r="C20" i="4" s="1"/>
  <c r="B14" i="3" a="1"/>
  <c r="B14" i="3" s="1"/>
  <c r="D16" i="4" a="1"/>
  <c r="D16" i="4" s="1"/>
  <c r="D41" i="1"/>
  <c r="K23" i="4" a="1"/>
  <c r="K23" i="4" s="1"/>
  <c r="C6" i="2" a="1"/>
  <c r="C6" i="2" s="1"/>
  <c r="C19" i="2" s="1" a="1"/>
  <c r="C19" i="2" s="1"/>
  <c r="B23" i="4" a="1"/>
  <c r="B23" i="4" s="1"/>
  <c r="I24" i="4" a="1"/>
  <c r="I24" i="4" s="1"/>
  <c r="H23" i="4" a="1"/>
  <c r="H23" i="4" s="1"/>
  <c r="J16" i="4" a="1"/>
  <c r="J16" i="4" s="1"/>
  <c r="D14" i="2" a="1"/>
  <c r="D14" i="2" s="1"/>
  <c r="G23" i="4" a="1"/>
  <c r="G23" i="4" s="1"/>
  <c r="C11" i="1"/>
  <c r="D11" i="1"/>
  <c r="E6" i="2" a="1"/>
  <c r="E6" i="2" s="1"/>
  <c r="E19" i="2" s="1" a="1"/>
  <c r="E19" i="2" s="1"/>
  <c r="K16" i="4" a="1"/>
  <c r="K16" i="4" s="1"/>
  <c r="C22" i="2" a="1"/>
  <c r="C22" i="2" s="1"/>
  <c r="D20" i="4" a="1"/>
  <c r="D20" i="4" s="1"/>
  <c r="G24" i="4" a="1"/>
  <c r="G24" i="4" s="1"/>
  <c r="B78" i="1"/>
  <c r="B79" i="1" s="1"/>
  <c r="D6" i="2" a="1"/>
  <c r="D6" i="2" s="1"/>
  <c r="D19" i="2" s="1" a="1"/>
  <c r="D19" i="2" s="1"/>
  <c r="E11" i="1"/>
  <c r="H6" i="2" a="1"/>
  <c r="H6" i="2" s="1"/>
  <c r="H19" i="2" s="1" a="1"/>
  <c r="H19" i="2" s="1"/>
  <c r="E22" i="2" a="1"/>
  <c r="E22" i="2" s="1"/>
  <c r="F6" i="2" a="1"/>
  <c r="F6" i="2" s="1"/>
  <c r="F19" i="2" s="1" a="1"/>
  <c r="F19" i="2" s="1"/>
  <c r="D24" i="4" a="1"/>
  <c r="D24" i="4" s="1"/>
  <c r="J24" i="4" a="1"/>
  <c r="J24" i="4" s="1"/>
  <c r="E1" i="5" a="1"/>
  <c r="E1" i="5" s="1"/>
  <c r="E1" i="4" a="1"/>
  <c r="E1" i="4" s="1"/>
  <c r="C35" i="1"/>
  <c r="C49" i="1" s="1"/>
  <c r="H24" i="4" a="1"/>
  <c r="H24" i="4" s="1"/>
  <c r="B36" i="1" l="1"/>
  <c r="F44" i="1"/>
  <c r="F53" i="1" s="1"/>
  <c r="G36" i="1"/>
  <c r="D44" i="1"/>
  <c r="D53" i="1" s="1"/>
  <c r="E64" i="1"/>
  <c r="C42" i="1"/>
  <c r="C52" i="1" s="1"/>
  <c r="G37" i="1"/>
  <c r="G38" i="1" s="1"/>
  <c r="G50" i="1" s="1"/>
  <c r="D65" i="1"/>
  <c r="C44" i="1"/>
  <c r="C53" i="1" s="1"/>
  <c r="B58" i="1"/>
  <c r="B60" i="1" s="1"/>
  <c r="D23" i="2" a="1"/>
  <c r="D23" i="2" s="1"/>
  <c r="C23" i="2" a="1"/>
  <c r="C23" i="2" s="1"/>
  <c r="E67" i="1"/>
  <c r="E65" i="1" s="1"/>
  <c r="B24" i="2" a="1"/>
  <c r="B24" i="2" s="1"/>
  <c r="E23" i="2" a="1"/>
  <c r="E23" i="2" s="1"/>
  <c r="G23" i="2" s="1" a="1"/>
  <c r="G23" i="2" s="1"/>
  <c r="B44" i="1"/>
  <c r="B53" i="1" s="1"/>
  <c r="B23" i="2" a="1"/>
  <c r="B23" i="2" s="1"/>
  <c r="F64" i="1"/>
  <c r="F42" i="1"/>
  <c r="F52" i="1" s="1"/>
  <c r="B80" i="1"/>
  <c r="B81" i="1" s="1"/>
  <c r="E58" i="1"/>
  <c r="E60" i="1" s="1"/>
  <c r="E36" i="1"/>
  <c r="E37" i="1"/>
  <c r="E38" i="1" s="1"/>
  <c r="E50" i="1" s="1"/>
  <c r="C65" i="1"/>
  <c r="F36" i="1"/>
  <c r="F58" i="1"/>
  <c r="F60" i="1" s="1"/>
  <c r="F37" i="1"/>
  <c r="F38" i="1" s="1"/>
  <c r="F50" i="1" s="1"/>
  <c r="D42" i="1"/>
  <c r="D52" i="1" s="1"/>
  <c r="D64" i="1"/>
  <c r="D58" i="1"/>
  <c r="D60" i="1" s="1"/>
  <c r="D36" i="1"/>
  <c r="D37" i="1"/>
  <c r="D38" i="1" s="1"/>
  <c r="D50" i="1" s="1"/>
  <c r="G64" i="1"/>
  <c r="G42" i="1"/>
  <c r="G52" i="1" s="1"/>
  <c r="G60" i="1"/>
  <c r="H23" i="2" a="1"/>
  <c r="E24" i="2" a="1"/>
  <c r="E24" i="2" s="1"/>
  <c r="G24" i="2" s="1" a="1"/>
  <c r="G24" i="2" s="1"/>
  <c r="M14" i="2" s="1" a="1"/>
  <c r="M14" i="2" s="1"/>
  <c r="H22" i="2" a="1"/>
  <c r="H22" i="2" s="1"/>
  <c r="N4" i="2" s="1" a="1"/>
  <c r="N4" i="2" s="1"/>
  <c r="G22" i="2" a="1"/>
  <c r="G22" i="2" s="1"/>
  <c r="M4" i="2" s="1" a="1"/>
  <c r="M4" i="2" s="1"/>
  <c r="C37" i="1"/>
  <c r="C38" i="1" s="1"/>
  <c r="C50" i="1" s="1"/>
  <c r="C58" i="1"/>
  <c r="C60" i="1" s="1"/>
  <c r="C36" i="1"/>
  <c r="G67" i="1"/>
  <c r="G65" i="1" s="1"/>
  <c r="G44" i="1"/>
  <c r="G53" i="1" s="1"/>
  <c r="H67" i="1"/>
  <c r="H63" i="1"/>
  <c r="H59" i="1" s="1"/>
  <c r="H64" i="1"/>
  <c r="H60" i="1"/>
  <c r="I57" i="1"/>
  <c r="C24" i="2" a="1"/>
  <c r="C24" i="2" s="1"/>
  <c r="H24" i="2" s="1" a="1"/>
  <c r="D24" i="2" a="1"/>
  <c r="D24" i="2" s="1"/>
  <c r="F65" i="1" l="1"/>
  <c r="H65" i="1"/>
  <c r="H24" i="2"/>
  <c r="N14" i="2" s="1" a="1"/>
  <c r="N14" i="2" s="1"/>
  <c r="H23" i="2"/>
  <c r="C94" i="1"/>
  <c r="F94" i="1"/>
  <c r="A121" i="1"/>
  <c r="A118" i="1"/>
  <c r="A120" i="1"/>
  <c r="E94" i="1"/>
  <c r="A117" i="1"/>
  <c r="B94" i="1"/>
  <c r="D94" i="1"/>
  <c r="A119" i="1"/>
  <c r="C61" i="1"/>
  <c r="C62" i="1" s="1"/>
  <c r="C66" i="1" s="1"/>
  <c r="M6" i="2" a="1"/>
  <c r="M6" i="2" s="1"/>
  <c r="M10" i="2" s="1" a="1"/>
  <c r="M10" i="2" s="1"/>
  <c r="M12" i="2" s="1" a="1"/>
  <c r="M12" i="2" s="1"/>
  <c r="M13" i="2" s="1" a="1"/>
  <c r="M13" i="2" s="1"/>
  <c r="M15" i="2" s="1" a="1"/>
  <c r="M15" i="2" s="1"/>
  <c r="M5" i="2" a="1"/>
  <c r="G61" i="1"/>
  <c r="G62" i="1" s="1"/>
  <c r="G66" i="1" s="1"/>
  <c r="H58" i="1"/>
  <c r="H61" i="1"/>
  <c r="H62" i="1" s="1"/>
  <c r="N6" i="2" a="1"/>
  <c r="N5" i="2" a="1"/>
  <c r="I67" i="1"/>
  <c r="I65" i="1" s="1"/>
  <c r="I60" i="1"/>
  <c r="J57" i="1"/>
  <c r="I63" i="1"/>
  <c r="I59" i="1" s="1"/>
  <c r="I64" i="1"/>
  <c r="E61" i="1"/>
  <c r="E62" i="1" s="1"/>
  <c r="E66" i="1" s="1"/>
  <c r="F61" i="1"/>
  <c r="F62" i="1" s="1"/>
  <c r="D61" i="1"/>
  <c r="D62" i="1" s="1"/>
  <c r="D66" i="1" s="1"/>
  <c r="H66" i="1" l="1"/>
  <c r="B92" i="1" s="1"/>
  <c r="B95" i="1" s="1"/>
  <c r="F66" i="1"/>
  <c r="N6" i="2"/>
  <c r="N10" i="2" s="1" a="1"/>
  <c r="N10" i="2" s="1"/>
  <c r="N12" i="2" s="1" a="1"/>
  <c r="N12" i="2" s="1"/>
  <c r="N13" i="2" s="1" a="1"/>
  <c r="N13" i="2" s="1"/>
  <c r="N15" i="2" s="1" a="1"/>
  <c r="N15" i="2" s="1"/>
  <c r="M5" i="2"/>
  <c r="J64" i="1"/>
  <c r="K57" i="1"/>
  <c r="J60" i="1"/>
  <c r="J63" i="1"/>
  <c r="J59" i="1" s="1"/>
  <c r="J67" i="1"/>
  <c r="J65" i="1" s="1"/>
  <c r="I61" i="1"/>
  <c r="I62" i="1" s="1"/>
  <c r="I66" i="1" s="1"/>
  <c r="C92" i="1" s="1"/>
  <c r="C95" i="1" s="1"/>
  <c r="I58" i="1"/>
  <c r="N5" i="2" l="1"/>
  <c r="J61" i="1"/>
  <c r="J62" i="1" s="1"/>
  <c r="J66" i="1" s="1"/>
  <c r="D92" i="1" s="1"/>
  <c r="D95" i="1" s="1"/>
  <c r="J58" i="1"/>
  <c r="K67" i="1"/>
  <c r="K65" i="1" s="1"/>
  <c r="K60" i="1"/>
  <c r="K63" i="1"/>
  <c r="K59" i="1" s="1"/>
  <c r="L57" i="1"/>
  <c r="K64" i="1"/>
  <c r="L63" i="1" l="1"/>
  <c r="L59" i="1" s="1"/>
  <c r="L60" i="1"/>
  <c r="L64" i="1"/>
  <c r="L67" i="1"/>
  <c r="L65" i="1" s="1"/>
  <c r="K61" i="1"/>
  <c r="K62" i="1" s="1"/>
  <c r="K66" i="1" s="1"/>
  <c r="E92" i="1" s="1"/>
  <c r="E95" i="1" s="1"/>
  <c r="K58" i="1"/>
  <c r="L58" i="1" l="1"/>
  <c r="L61" i="1"/>
  <c r="L62" i="1" s="1"/>
  <c r="L66" i="1" s="1"/>
  <c r="B85" i="1" l="1"/>
  <c r="B86" i="1" s="1"/>
  <c r="B87" i="1" s="1"/>
  <c r="F92" i="1"/>
  <c r="F95" i="1" s="1"/>
  <c r="B97" i="1" s="1"/>
  <c r="B120" i="1"/>
  <c r="B118" i="1"/>
  <c r="E119" i="1"/>
  <c r="F118" i="1"/>
  <c r="C121" i="1"/>
  <c r="C120" i="1"/>
  <c r="C119" i="1"/>
  <c r="E117" i="1"/>
  <c r="F121" i="1"/>
  <c r="C118" i="1"/>
  <c r="F117" i="1"/>
  <c r="D121" i="1"/>
  <c r="C117" i="1"/>
  <c r="F119" i="1"/>
  <c r="E120" i="1"/>
  <c r="D119" i="1"/>
  <c r="E118" i="1"/>
  <c r="B119" i="1"/>
  <c r="E121" i="1"/>
  <c r="D117" i="1"/>
  <c r="B117" i="1"/>
  <c r="D120" i="1"/>
  <c r="D118" i="1"/>
  <c r="B121" i="1"/>
  <c r="F120" i="1"/>
  <c r="B88" i="1" l="1"/>
  <c r="B98" i="1"/>
  <c r="B99" i="1" s="1"/>
  <c r="B100" i="1" s="1"/>
  <c r="B104" i="1" s="1"/>
  <c r="B101" i="1" l="1"/>
  <c r="B113" i="1"/>
  <c r="B108" i="1"/>
  <c r="B110" i="1" s="1"/>
  <c r="B112" i="1" l="1"/>
  <c r="B4" i="1" s="1"/>
  <c r="B2" i="1"/>
</calcChain>
</file>

<file path=xl/sharedStrings.xml><?xml version="1.0" encoding="utf-8"?>
<sst xmlns="http://schemas.openxmlformats.org/spreadsheetml/2006/main" count="281" uniqueCount="180">
  <si>
    <t>Historical financials (INR crore)</t>
  </si>
  <si>
    <t>FY21A</t>
  </si>
  <si>
    <t>FY22A</t>
  </si>
  <si>
    <t>FY23A</t>
  </si>
  <si>
    <t>FY24A</t>
  </si>
  <si>
    <t>FY25A</t>
  </si>
  <si>
    <t>FY26A</t>
  </si>
  <si>
    <t>Sales</t>
  </si>
  <si>
    <t>Total operating expenses</t>
  </si>
  <si>
    <t>Operating profit (EBITDA)</t>
  </si>
  <si>
    <t>Other income</t>
  </si>
  <si>
    <t>Depreciation &amp; amortisation</t>
  </si>
  <si>
    <t>Interest</t>
  </si>
  <si>
    <t>Profit before tax</t>
  </si>
  <si>
    <t>Tax</t>
  </si>
  <si>
    <t>Net profit</t>
  </si>
  <si>
    <t>Net block (fixed assets)</t>
  </si>
  <si>
    <t>Capital work in progress</t>
  </si>
  <si>
    <t>Investments</t>
  </si>
  <si>
    <t>Receivables</t>
  </si>
  <si>
    <t>Other assets</t>
  </si>
  <si>
    <t>Cash &amp; bank</t>
  </si>
  <si>
    <t>Borrowings</t>
  </si>
  <si>
    <t>Other liabilities</t>
  </si>
  <si>
    <t>Total equity (share capital + reserves)</t>
  </si>
  <si>
    <t>Cash from operating activity</t>
  </si>
  <si>
    <t>Market data</t>
  </si>
  <si>
    <t>Current share price (INR)</t>
  </si>
  <si>
    <t>Market capitalisation</t>
  </si>
  <si>
    <t>Shares outstanding (crore)</t>
  </si>
  <si>
    <t>Derived historical metrics</t>
  </si>
  <si>
    <t>Revenue growth</t>
  </si>
  <si>
    <t>n.a.</t>
  </si>
  <si>
    <t>EBITDA margin</t>
  </si>
  <si>
    <t>EBIT (EBITDA - D&amp;A)</t>
  </si>
  <si>
    <t>EBIT margin</t>
  </si>
  <si>
    <t>D&amp;A % of revenue</t>
  </si>
  <si>
    <t>Effective tax rate</t>
  </si>
  <si>
    <t>Capex (proxy)</t>
  </si>
  <si>
    <t>Capex % of revenue</t>
  </si>
  <si>
    <t>Net working capital</t>
  </si>
  <si>
    <t>NWC % of revenue</t>
  </si>
  <si>
    <t>Forecast assumptions</t>
  </si>
  <si>
    <t>FY27E</t>
  </si>
  <si>
    <t>FY28E</t>
  </si>
  <si>
    <t>FY29E</t>
  </si>
  <si>
    <t>FY30E</t>
  </si>
  <si>
    <t>FY31E</t>
  </si>
  <si>
    <t>Tax rate on EBIT</t>
  </si>
  <si>
    <t>Free cash flow build</t>
  </si>
  <si>
    <t>Revenue</t>
  </si>
  <si>
    <t>EBITDA</t>
  </si>
  <si>
    <t>Less: D&amp;A</t>
  </si>
  <si>
    <t>EBIT</t>
  </si>
  <si>
    <t>Less: taxes on EBIT</t>
  </si>
  <si>
    <t>NOPAT</t>
  </si>
  <si>
    <t>Plus: D&amp;A</t>
  </si>
  <si>
    <t>Less: capex</t>
  </si>
  <si>
    <t>Less: increase in net working capital</t>
  </si>
  <si>
    <t>Unlevered free cash flow (FCF)</t>
  </si>
  <si>
    <t>Memo: net working capital balance</t>
  </si>
  <si>
    <t>Risk-free rate</t>
  </si>
  <si>
    <t>Equity beta</t>
  </si>
  <si>
    <t>Equity risk premium</t>
  </si>
  <si>
    <t>Cost of equity</t>
  </si>
  <si>
    <t>Pre-tax cost of debt</t>
  </si>
  <si>
    <t>Tax rate</t>
  </si>
  <si>
    <t>After-tax cost of debt</t>
  </si>
  <si>
    <t>Equity value (market cap)</t>
  </si>
  <si>
    <t>Debt (borrowings)</t>
  </si>
  <si>
    <t>Equity weight</t>
  </si>
  <si>
    <t>Debt weight</t>
  </si>
  <si>
    <t>WACC</t>
  </si>
  <si>
    <t>Terminal growth rate</t>
  </si>
  <si>
    <t>Final forecast-year FCF (FY31E)</t>
  </si>
  <si>
    <t>Terminal-year FCF (FY31E x (1 + g))</t>
  </si>
  <si>
    <t>Terminal value at end of FY31E</t>
  </si>
  <si>
    <t>Implied terminal EV / EBITDA</t>
  </si>
  <si>
    <t>Discounting</t>
  </si>
  <si>
    <t>Free cash flow</t>
  </si>
  <si>
    <t>Discount period (years from FY26)</t>
  </si>
  <si>
    <t>Discount factor  = 1 / (1 + WACC)^t</t>
  </si>
  <si>
    <t>Present value of FCF</t>
  </si>
  <si>
    <t>Sum of PV of FCF (FY27E-FY31E)</t>
  </si>
  <si>
    <t>Terminal value (undiscounted)</t>
  </si>
  <si>
    <t>PV of terminal value</t>
  </si>
  <si>
    <t>Enterprise value</t>
  </si>
  <si>
    <t>Terminal value % of enterprise value</t>
  </si>
  <si>
    <t>Plus: cash &amp; bank</t>
  </si>
  <si>
    <t>Plus: investments</t>
  </si>
  <si>
    <t>Less: borrowings</t>
  </si>
  <si>
    <t>Equity value</t>
  </si>
  <si>
    <t>Implied share price (INR)</t>
  </si>
  <si>
    <t>Upside / (downside)</t>
  </si>
  <si>
    <t>Implied EV / FY26 EBITDA</t>
  </si>
  <si>
    <t>SENSITIVITY: implied share price (INR) - WACC (down) vs terminal growth (across)</t>
  </si>
  <si>
    <t>SCREENER.IN</t>
  </si>
  <si>
    <t>Narration</t>
  </si>
  <si>
    <t>Trailing</t>
  </si>
  <si>
    <t>Best Case</t>
  </si>
  <si>
    <t>Worst Case</t>
  </si>
  <si>
    <t>Expenses</t>
  </si>
  <si>
    <t>Operating Profit</t>
  </si>
  <si>
    <t>Other Income</t>
  </si>
  <si>
    <t>Depreciation</t>
  </si>
  <si>
    <t>EPS</t>
  </si>
  <si>
    <t>Price to earning</t>
  </si>
  <si>
    <t>Price</t>
  </si>
  <si>
    <t>RATIOS:</t>
  </si>
  <si>
    <t>Dividend Payout</t>
  </si>
  <si>
    <t>OPM</t>
  </si>
  <si>
    <t>10 YEARS</t>
  </si>
  <si>
    <t>7 YEARS</t>
  </si>
  <si>
    <t>5 YEARS</t>
  </si>
  <si>
    <t>3 YEARS</t>
  </si>
  <si>
    <t>RECENT</t>
  </si>
  <si>
    <t>BEST</t>
  </si>
  <si>
    <t>WORST</t>
  </si>
  <si>
    <t>Sales Growth</t>
  </si>
  <si>
    <t>Price to Earning</t>
  </si>
  <si>
    <t>Equity Share Capital</t>
  </si>
  <si>
    <t>Reserves</t>
  </si>
  <si>
    <t>Other Liabilities</t>
  </si>
  <si>
    <t>Total</t>
  </si>
  <si>
    <t>Net Block</t>
  </si>
  <si>
    <t>Capital Work in Progress</t>
  </si>
  <si>
    <t>Other Assets</t>
  </si>
  <si>
    <t>Working Capital</t>
  </si>
  <si>
    <t>Debtors</t>
  </si>
  <si>
    <t>Inventory</t>
  </si>
  <si>
    <t>Debtor Days</t>
  </si>
  <si>
    <t>Inventory Turnover</t>
  </si>
  <si>
    <t>Return on Equity</t>
  </si>
  <si>
    <t>Return on Capital Emp</t>
  </si>
  <si>
    <t>Cash from Operating Activity</t>
  </si>
  <si>
    <t>Cash from Investing Activity</t>
  </si>
  <si>
    <t>Cash from Financing Activity</t>
  </si>
  <si>
    <t>Net Cash Flow</t>
  </si>
  <si>
    <t>COMPANY NAME</t>
  </si>
  <si>
    <t>INFOSYS LTD</t>
  </si>
  <si>
    <t>LATEST VERSION</t>
  </si>
  <si>
    <t>CURRENT VERSION</t>
  </si>
  <si>
    <t>META</t>
  </si>
  <si>
    <t>Number of shares</t>
  </si>
  <si>
    <t>Face Value</t>
  </si>
  <si>
    <t>Current Price</t>
  </si>
  <si>
    <t>Market Capitalization</t>
  </si>
  <si>
    <t>PROFIT &amp; LOSS</t>
  </si>
  <si>
    <t>Report Date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</si>
  <si>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</si>
  <si>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</si>
  <si>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</si>
  <si>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</si>
  <si>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</si>
  <si>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</si>
  <si>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</si>
  <si>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Dividend Amount</t>
  </si>
  <si>
    <t>BALANCE SHEET</t>
  </si>
  <si>
    <t>Cash &amp; Bank</t>
  </si>
  <si>
    <t>No. of Equity Shares</t>
  </si>
  <si>
    <t>New Bonus Shares</t>
  </si>
  <si>
    <t>Face value</t>
  </si>
  <si>
    <t>CASH FLOW:</t>
  </si>
  <si>
    <t>PRICE:</t>
  </si>
  <si>
    <t>DERIVED:</t>
  </si>
  <si>
    <t>Adjusted Equity Shares in Cr</t>
  </si>
  <si>
    <t>QUARTERS</t>
  </si>
  <si>
    <t>TRENDS</t>
  </si>
  <si>
    <t>Data from: Screener.in</t>
  </si>
  <si>
    <t>Colour Legend: Orange - Assumptions</t>
  </si>
  <si>
    <t>FORECASTING FREE CASH FLOWS (FY27E-FY31E)</t>
  </si>
  <si>
    <t>CALCULATING THE WACC</t>
  </si>
  <si>
    <t>CALCULATING THE TERMINAL VALUE</t>
  </si>
  <si>
    <t>DISCOUNTING THE FREE CASH FLOWS AND TERMINAL VALUE</t>
  </si>
  <si>
    <t>CALCULATING THE IMPLIED SHARE PRICE</t>
  </si>
  <si>
    <t>WACC \ Terminal Growth</t>
  </si>
  <si>
    <t>Company</t>
  </si>
  <si>
    <t>Implied Price</t>
  </si>
  <si>
    <t>Recommendation</t>
  </si>
  <si>
    <t>Infosys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</si>
</sst>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;\(#,##0\);\-"/>
    <numFmt numFmtId="165" formatCode="#,##0.0;\(#,##0.0\);\-"/>
    <numFmt numFmtId="166" formatCode="0.0%;\(0.0%\);\-"/>
    <numFmt numFmtId="167" formatCode="0.0\x"/>
    <numFmt numFmtId="168" formatCode="0.000"/>
    <numFmt numFmtId="169" formatCode="mmm\-yy"/>
    <numFmt numFmtId="170" formatCode="\ * #,##0.00\ ;\ * \-#,##0.00\ ;\ * \-??\ "/>
    <numFmt numFmtId="171" formatCode="\ * #,##0.00\ ;\ * \(#,##0.00\);\ * \-??\ "/>
  </numFmts>
  <fonts count="10" x14ac:knownFonts="1">
    <font>
      <sz val="11"/>
      <name val="Calibri"/>
      <charset val="1"/>
    </font>
    <font>
      <b/>
      <sz val="11"/>
      <name val="Calibri"/>
      <charset val="1"/>
    </font>
    <font>
      <sz val="11"/>
      <color rgb="FF0000FF"/>
      <name val="Calibri"/>
      <charset val="1"/>
    </font>
    <font>
      <b/>
      <sz val="11"/>
      <name val="Calibri"/>
      <family val="2"/>
    </font>
    <font>
      <sz val="11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color theme="6"/>
      <name val="Arial"/>
      <family val="2"/>
    </font>
    <font>
      <b/>
      <sz val="10"/>
      <color rgb="FF00B05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99"/>
        <bgColor rgb="FFFFFFCC"/>
      </patternFill>
    </fill>
    <fill>
      <patternFill patternType="solid">
        <fgColor rgb="FF99CCFF"/>
        <bgColor rgb="FFFFFFCC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rgb="FFCC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333333"/>
      </patternFill>
    </fill>
    <fill>
      <patternFill patternType="solid">
        <fgColor theme="0"/>
        <bgColor rgb="FFFFFF00"/>
      </patternFill>
    </fill>
    <fill>
      <patternFill patternType="solid">
        <fgColor rgb="FF99CCFF"/>
        <bgColor rgb="FFCCFFFF"/>
      </patternFill>
    </fill>
    <fill>
      <patternFill patternType="solid">
        <fgColor rgb="FFFFFF99"/>
        <bgColor rgb="FFCCFFFF"/>
      </patternFill>
    </fill>
    <fill>
      <patternFill patternType="solid">
        <fgColor rgb="FFFFFF99"/>
        <bgColor rgb="FF333333"/>
      </patternFill>
    </fill>
    <fill>
      <patternFill patternType="solid">
        <fgColor rgb="FF99CCFF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2" borderId="1" xfId="0" applyFill="1" applyBorder="1"/>
    <xf numFmtId="49" fontId="0" fillId="2" borderId="1" xfId="0" applyNumberFormat="1" applyFill="1" applyBorder="1"/>
    <xf numFmtId="170" fontId="0" fillId="2" borderId="1" xfId="0" applyNumberFormat="1" applyFill="1" applyBorder="1"/>
    <xf numFmtId="9" fontId="0" fillId="2" borderId="1" xfId="0" applyNumberFormat="1" applyFill="1" applyBorder="1"/>
    <xf numFmtId="10" fontId="0" fillId="2" borderId="1" xfId="0" applyNumberFormat="1" applyFill="1" applyBorder="1"/>
    <xf numFmtId="10" fontId="1" fillId="2" borderId="1" xfId="0" applyNumberFormat="1" applyFont="1" applyFill="1" applyBorder="1"/>
    <xf numFmtId="170" fontId="1" fillId="2" borderId="1" xfId="0" applyNumberFormat="1" applyFont="1" applyFill="1" applyBorder="1"/>
    <xf numFmtId="170" fontId="0" fillId="2" borderId="1" xfId="0" applyNumberFormat="1" applyFill="1" applyBorder="1" applyAlignment="1">
      <alignment horizontal="center"/>
    </xf>
    <xf numFmtId="170" fontId="1" fillId="2" borderId="1" xfId="0" applyNumberFormat="1" applyFont="1" applyFill="1" applyBorder="1" applyAlignment="1">
      <alignment horizontal="center"/>
    </xf>
    <xf numFmtId="49" fontId="1" fillId="2" borderId="1" xfId="0" applyNumberFormat="1" applyFont="1" applyFill="1" applyBorder="1"/>
    <xf numFmtId="171" fontId="0" fillId="2" borderId="1" xfId="0" applyNumberFormat="1" applyFill="1" applyBorder="1"/>
    <xf numFmtId="0" fontId="0" fillId="2" borderId="0" xfId="0" applyFill="1"/>
    <xf numFmtId="49" fontId="1" fillId="2" borderId="0" xfId="0" applyNumberFormat="1" applyFont="1" applyFill="1"/>
    <xf numFmtId="170" fontId="0" fillId="2" borderId="0" xfId="0" applyNumberFormat="1" applyFill="1"/>
    <xf numFmtId="170" fontId="1" fillId="2" borderId="0" xfId="0" applyNumberFormat="1" applyFont="1" applyFill="1"/>
    <xf numFmtId="169" fontId="1" fillId="2" borderId="1" xfId="0" applyNumberFormat="1" applyFont="1" applyFill="1" applyBorder="1" applyAlignment="1">
      <alignment horizontal="center"/>
    </xf>
    <xf numFmtId="49" fontId="3" fillId="2" borderId="1" xfId="0" applyNumberFormat="1" applyFont="1" applyFill="1" applyBorder="1"/>
    <xf numFmtId="49" fontId="1" fillId="3" borderId="0" xfId="0" applyNumberFormat="1" applyFont="1" applyFill="1"/>
    <xf numFmtId="49" fontId="3" fillId="3" borderId="0" xfId="0" applyNumberFormat="1" applyFont="1" applyFill="1"/>
    <xf numFmtId="49" fontId="2" fillId="2" borderId="0" xfId="0" applyNumberFormat="1" applyFont="1" applyFill="1"/>
    <xf numFmtId="49" fontId="1" fillId="4" borderId="1" xfId="0" applyNumberFormat="1" applyFont="1" applyFill="1" applyBorder="1"/>
    <xf numFmtId="169" fontId="1" fillId="4" borderId="1" xfId="0" applyNumberFormat="1" applyFont="1" applyFill="1" applyBorder="1" applyAlignment="1">
      <alignment horizontal="center"/>
    </xf>
    <xf numFmtId="49" fontId="3" fillId="4" borderId="1" xfId="0" applyNumberFormat="1" applyFont="1" applyFill="1" applyBorder="1"/>
    <xf numFmtId="0" fontId="0" fillId="3" borderId="1" xfId="0" applyFill="1" applyBorder="1"/>
    <xf numFmtId="0" fontId="1" fillId="2" borderId="0" xfId="0" applyFont="1" applyFill="1"/>
    <xf numFmtId="10" fontId="0" fillId="2" borderId="0" xfId="0" applyNumberFormat="1" applyFill="1"/>
    <xf numFmtId="49" fontId="1" fillId="4" borderId="1" xfId="0" applyNumberFormat="1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left"/>
    </xf>
    <xf numFmtId="0" fontId="0" fillId="6" borderId="0" xfId="0" applyFill="1"/>
    <xf numFmtId="0" fontId="0" fillId="7" borderId="0" xfId="0" applyFill="1"/>
    <xf numFmtId="164" fontId="6" fillId="0" borderId="1" xfId="0" applyNumberFormat="1" applyFont="1" applyBorder="1"/>
    <xf numFmtId="0" fontId="4" fillId="6" borderId="0" xfId="0" applyFont="1" applyFill="1"/>
    <xf numFmtId="165" fontId="6" fillId="7" borderId="1" xfId="0" applyNumberFormat="1" applyFont="1" applyFill="1" applyBorder="1"/>
    <xf numFmtId="164" fontId="6" fillId="7" borderId="1" xfId="0" applyNumberFormat="1" applyFont="1" applyFill="1" applyBorder="1"/>
    <xf numFmtId="0" fontId="6" fillId="0" borderId="1" xfId="0" applyFont="1" applyBorder="1" applyAlignment="1">
      <alignment horizontal="right"/>
    </xf>
    <xf numFmtId="166" fontId="6" fillId="0" borderId="1" xfId="0" applyNumberFormat="1" applyFont="1" applyBorder="1"/>
    <xf numFmtId="0" fontId="4" fillId="7" borderId="0" xfId="0" applyFont="1" applyFill="1"/>
    <xf numFmtId="0" fontId="7" fillId="7" borderId="0" xfId="0" applyFont="1" applyFill="1"/>
    <xf numFmtId="0" fontId="6" fillId="7" borderId="1" xfId="0" applyFont="1" applyFill="1" applyBorder="1" applyAlignment="1">
      <alignment horizontal="right"/>
    </xf>
    <xf numFmtId="166" fontId="6" fillId="7" borderId="1" xfId="0" applyNumberFormat="1" applyFont="1" applyFill="1" applyBorder="1"/>
    <xf numFmtId="0" fontId="4" fillId="7" borderId="1" xfId="0" applyFont="1" applyFill="1" applyBorder="1"/>
    <xf numFmtId="164" fontId="5" fillId="7" borderId="1" xfId="0" applyNumberFormat="1" applyFont="1" applyFill="1" applyBorder="1"/>
    <xf numFmtId="166" fontId="5" fillId="9" borderId="1" xfId="0" applyNumberFormat="1" applyFont="1" applyFill="1" applyBorder="1"/>
    <xf numFmtId="167" fontId="6" fillId="7" borderId="1" xfId="0" applyNumberFormat="1" applyFont="1" applyFill="1" applyBorder="1"/>
    <xf numFmtId="1" fontId="6" fillId="7" borderId="1" xfId="0" applyNumberFormat="1" applyFont="1" applyFill="1" applyBorder="1"/>
    <xf numFmtId="168" fontId="6" fillId="7" borderId="1" xfId="0" applyNumberFormat="1" applyFont="1" applyFill="1" applyBorder="1"/>
    <xf numFmtId="0" fontId="4" fillId="8" borderId="0" xfId="0" applyFont="1" applyFill="1"/>
    <xf numFmtId="164" fontId="6" fillId="7" borderId="2" xfId="0" applyNumberFormat="1" applyFont="1" applyFill="1" applyBorder="1"/>
    <xf numFmtId="0" fontId="5" fillId="10" borderId="1" xfId="0" applyFont="1" applyFill="1" applyBorder="1" applyAlignment="1">
      <alignment horizontal="right"/>
    </xf>
    <xf numFmtId="166" fontId="5" fillId="10" borderId="1" xfId="0" applyNumberFormat="1" applyFont="1" applyFill="1" applyBorder="1"/>
    <xf numFmtId="0" fontId="0" fillId="5" borderId="3" xfId="0" applyFill="1" applyBorder="1"/>
    <xf numFmtId="0" fontId="5" fillId="10" borderId="1" xfId="0" applyFont="1" applyFill="1" applyBorder="1" applyProtection="1">
      <protection locked="0"/>
    </xf>
    <xf numFmtId="0" fontId="6" fillId="0" borderId="1" xfId="0" applyFont="1" applyBorder="1" applyProtection="1">
      <protection locked="0"/>
    </xf>
    <xf numFmtId="0" fontId="5" fillId="11" borderId="0" xfId="0" applyFont="1" applyFill="1" applyProtection="1">
      <protection locked="0"/>
    </xf>
    <xf numFmtId="0" fontId="6" fillId="7" borderId="1" xfId="0" applyFont="1" applyFill="1" applyBorder="1" applyProtection="1">
      <protection locked="0"/>
    </xf>
    <xf numFmtId="0" fontId="5" fillId="12" borderId="0" xfId="0" applyFont="1" applyFill="1" applyProtection="1">
      <protection locked="0"/>
    </xf>
    <xf numFmtId="0" fontId="4" fillId="7" borderId="0" xfId="0" applyFont="1" applyFill="1" applyProtection="1">
      <protection locked="0"/>
    </xf>
    <xf numFmtId="0" fontId="5" fillId="7" borderId="1" xfId="0" applyFont="1" applyFill="1" applyBorder="1" applyProtection="1">
      <protection locked="0"/>
    </xf>
    <xf numFmtId="0" fontId="5" fillId="12" borderId="3" xfId="0" applyFont="1" applyFill="1" applyBorder="1" applyProtection="1">
      <protection locked="0"/>
    </xf>
    <xf numFmtId="0" fontId="6" fillId="7" borderId="2" xfId="0" applyFont="1" applyFill="1" applyBorder="1" applyProtection="1">
      <protection locked="0"/>
    </xf>
    <xf numFmtId="0" fontId="5" fillId="13" borderId="1" xfId="0" applyFont="1" applyFill="1" applyBorder="1" applyProtection="1">
      <protection locked="0"/>
    </xf>
    <xf numFmtId="166" fontId="5" fillId="6" borderId="1" xfId="0" applyNumberFormat="1" applyFont="1" applyFill="1" applyBorder="1" applyAlignment="1" applyProtection="1">
      <alignment horizontal="right"/>
      <protection locked="0"/>
    </xf>
    <xf numFmtId="0" fontId="0" fillId="0" borderId="0" xfId="0" applyProtection="1">
      <protection locked="0"/>
    </xf>
    <xf numFmtId="0" fontId="3" fillId="7" borderId="0" xfId="0" applyFont="1" applyFill="1" applyProtection="1">
      <protection locked="0"/>
    </xf>
    <xf numFmtId="0" fontId="3" fillId="5" borderId="1" xfId="0" applyFont="1" applyFill="1" applyBorder="1" applyProtection="1">
      <protection locked="0"/>
    </xf>
    <xf numFmtId="166" fontId="8" fillId="9" borderId="1" xfId="0" applyNumberFormat="1" applyFont="1" applyFill="1" applyBorder="1"/>
    <xf numFmtId="166" fontId="8" fillId="7" borderId="1" xfId="0" applyNumberFormat="1" applyFont="1" applyFill="1" applyBorder="1"/>
    <xf numFmtId="2" fontId="8" fillId="9" borderId="1" xfId="0" applyNumberFormat="1" applyFont="1" applyFill="1" applyBorder="1"/>
    <xf numFmtId="165" fontId="9" fillId="9" borderId="1" xfId="0" applyNumberFormat="1" applyFont="1" applyFill="1" applyBorder="1"/>
    <xf numFmtId="166" fontId="9" fillId="7" borderId="1" xfId="0" applyNumberFormat="1" applyFont="1" applyFill="1" applyBorder="1"/>
    <xf numFmtId="0" fontId="3" fillId="13" borderId="1" xfId="0" applyFont="1" applyFill="1" applyBorder="1" applyAlignment="1">
      <alignment wrapText="1" shrinkToFit="1"/>
    </xf>
    <xf numFmtId="165" fontId="0" fillId="0" borderId="1" xfId="0" applyNumberFormat="1" applyBorder="1"/>
    <xf numFmtId="0" fontId="3" fillId="5" borderId="1" xfId="0" applyFont="1" applyFill="1" applyBorder="1" applyAlignment="1">
      <alignment horizontal="right"/>
    </xf>
    <xf numFmtId="0" fontId="3" fillId="7" borderId="1" xfId="0" applyFont="1" applyFill="1" applyBorder="1" applyAlignment="1">
      <alignment wrapText="1" shrinkToFit="1"/>
    </xf>
    <xf numFmtId="0" fontId="3" fillId="13" borderId="1" xfId="0" applyFont="1" applyFill="1" applyBorder="1" applyAlignment="1">
      <alignment horizontal="right"/>
    </xf>
    <xf numFmtId="0" fontId="5" fillId="12" borderId="3" xfId="0" applyFont="1" applyFill="1" applyBorder="1" applyProtection="1">
      <protection locked="0"/>
    </xf>
    <xf numFmtId="0" fontId="0" fillId="0" borderId="3" xfId="0" applyBorder="1"/>
    <xf numFmtId="0" fontId="0" fillId="2" borderId="0" xfId="0" applyFill="1" applyAlignment="1">
      <alignment horizontal="center"/>
    </xf>
    <xf numFmtId="0" fontId="3" fillId="5" borderId="4" xfId="0" applyFont="1" applyFill="1" applyBorder="1" applyAlignment="1"/>
    <xf numFmtId="0" fontId="3" fillId="5" borderId="5" xfId="0" applyFont="1" applyFill="1" applyBorder="1" applyAlignment="1"/>
    <xf numFmtId="0" fontId="0" fillId="0" borderId="6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9C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Adjacency">
  <a:themeElements>
    <a:clrScheme name="Adjacency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0000FF"/>
      </a:hlink>
      <a:folHlink>
        <a:srgbClr val="FF00FF"/>
      </a:folHlink>
    </a:clrScheme>
    <a:fontScheme name="Adjacency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5"/>
  <sheetViews>
    <sheetView showGridLines="0" tabSelected="1" topLeftCell="A113" zoomScale="86" zoomScaleNormal="100" workbookViewId="0">
      <selection activeCell="F121" sqref="A116:F121"/>
    </sheetView>
  </sheetViews>
  <sheetFormatPr defaultColWidth="8.6328125" defaultRowHeight="14.5" x14ac:dyDescent="0.35"/>
  <cols>
    <col min="1" max="1" width="46.1796875" style="63" customWidth="1"/>
    <col min="2" max="2" width="16.08984375" customWidth="1"/>
    <col min="3" max="3" width="13.08984375" customWidth="1"/>
    <col min="4" max="12" width="11.453125" customWidth="1"/>
  </cols>
  <sheetData>
    <row r="1" spans="1:12" x14ac:dyDescent="0.35">
      <c r="A1" s="71" t="s">
        <v>176</v>
      </c>
      <c r="B1" s="75" t="s">
        <v>179</v>
      </c>
    </row>
    <row r="2" spans="1:12" x14ac:dyDescent="0.35">
      <c r="A2" s="74" t="s">
        <v>177</v>
      </c>
      <c r="B2" s="72">
        <f>B110</f>
        <v>1000.848697613514</v>
      </c>
    </row>
    <row r="3" spans="1:12" x14ac:dyDescent="0.35">
      <c r="A3" s="74" t="s">
        <v>145</v>
      </c>
      <c r="B3" s="72">
        <f>B111</f>
        <v>1035</v>
      </c>
    </row>
    <row r="4" spans="1:12" x14ac:dyDescent="0.35">
      <c r="A4" s="74" t="s">
        <v>178</v>
      </c>
      <c r="B4" s="73" t="str">
        <f>IF(B112&gt;0.05,"BUY",IF(B112&lt;-0.05,"SELL","HOLD"))</f>
        <v>HOLD</v>
      </c>
    </row>
    <row r="5" spans="1:12" x14ac:dyDescent="0.35">
      <c r="A5"/>
    </row>
    <row r="6" spans="1:12" x14ac:dyDescent="0.35">
      <c r="A6" s="65" t="s">
        <v>168</v>
      </c>
      <c r="B6" s="79" t="s">
        <v>169</v>
      </c>
      <c r="C6" s="80"/>
      <c r="D6" s="81"/>
    </row>
    <row r="7" spans="1:12" x14ac:dyDescent="0.35">
      <c r="A7" s="64"/>
    </row>
    <row r="8" spans="1:12" s="30" customFormat="1" x14ac:dyDescent="0.35">
      <c r="A8" s="52" t="s">
        <v>0</v>
      </c>
      <c r="B8" s="49" t="s">
        <v>1</v>
      </c>
      <c r="C8" s="49" t="s">
        <v>2</v>
      </c>
      <c r="D8" s="49" t="s">
        <v>3</v>
      </c>
      <c r="E8" s="49" t="s">
        <v>4</v>
      </c>
      <c r="F8" s="49" t="s">
        <v>5</v>
      </c>
      <c r="G8" s="49" t="s">
        <v>6</v>
      </c>
      <c r="H8" s="29"/>
      <c r="I8" s="29"/>
      <c r="J8" s="29"/>
      <c r="K8" s="29"/>
      <c r="L8" s="29"/>
    </row>
    <row r="9" spans="1:12" x14ac:dyDescent="0.35">
      <c r="A9" s="53" t="s">
        <v>7</v>
      </c>
      <c r="B9" s="31">
        <f>'Data Sheet'!F13</f>
        <v>100472</v>
      </c>
      <c r="C9" s="31">
        <f>'Data Sheet'!G13</f>
        <v>121641</v>
      </c>
      <c r="D9" s="31">
        <f>'Data Sheet'!H13</f>
        <v>146767</v>
      </c>
      <c r="E9" s="31">
        <f>'Data Sheet'!I13</f>
        <v>153670</v>
      </c>
      <c r="F9" s="31">
        <f>'Data Sheet'!J13</f>
        <v>162990</v>
      </c>
      <c r="G9" s="31">
        <f>'Data Sheet'!K13</f>
        <v>178650</v>
      </c>
    </row>
    <row r="10" spans="1:12" x14ac:dyDescent="0.35">
      <c r="A10" s="53" t="s">
        <v>8</v>
      </c>
      <c r="B10" s="31">
        <f>SUM('Data Sheet'!F14:F20)</f>
        <v>72583</v>
      </c>
      <c r="C10" s="31">
        <f>SUM('Data Sheet'!G14:G20)</f>
        <v>90150</v>
      </c>
      <c r="D10" s="31">
        <f>SUM('Data Sheet'!H14:H20)</f>
        <v>111637</v>
      </c>
      <c r="E10" s="31">
        <f>SUM('Data Sheet'!I14:I20)</f>
        <v>117245</v>
      </c>
      <c r="F10" s="31">
        <f>SUM('Data Sheet'!J14:J20)</f>
        <v>123754</v>
      </c>
      <c r="G10" s="31">
        <f>SUM('Data Sheet'!K14:K20)</f>
        <v>136370</v>
      </c>
    </row>
    <row r="11" spans="1:12" x14ac:dyDescent="0.35">
      <c r="A11" s="53" t="s">
        <v>9</v>
      </c>
      <c r="B11" s="31">
        <f t="shared" ref="B11:G11" si="0">B9-B10</f>
        <v>27889</v>
      </c>
      <c r="C11" s="31">
        <f t="shared" si="0"/>
        <v>31491</v>
      </c>
      <c r="D11" s="31">
        <f t="shared" si="0"/>
        <v>35130</v>
      </c>
      <c r="E11" s="31">
        <f t="shared" si="0"/>
        <v>36425</v>
      </c>
      <c r="F11" s="31">
        <f t="shared" si="0"/>
        <v>39236</v>
      </c>
      <c r="G11" s="31">
        <f t="shared" si="0"/>
        <v>42280</v>
      </c>
    </row>
    <row r="12" spans="1:12" x14ac:dyDescent="0.35">
      <c r="A12" s="53" t="s">
        <v>10</v>
      </c>
      <c r="B12" s="31">
        <f>'Data Sheet'!F21</f>
        <v>2201</v>
      </c>
      <c r="C12" s="31">
        <f>'Data Sheet'!G21</f>
        <v>2295</v>
      </c>
      <c r="D12" s="31">
        <f>'Data Sheet'!H21</f>
        <v>2701</v>
      </c>
      <c r="E12" s="31">
        <f>'Data Sheet'!I21</f>
        <v>4711</v>
      </c>
      <c r="F12" s="31">
        <f>'Data Sheet'!J21</f>
        <v>3600</v>
      </c>
      <c r="G12" s="31">
        <f>'Data Sheet'!K21</f>
        <v>3033</v>
      </c>
    </row>
    <row r="13" spans="1:12" x14ac:dyDescent="0.35">
      <c r="A13" s="53" t="s">
        <v>11</v>
      </c>
      <c r="B13" s="31">
        <f>'Data Sheet'!F22</f>
        <v>3267</v>
      </c>
      <c r="C13" s="31">
        <f>'Data Sheet'!G22</f>
        <v>3476</v>
      </c>
      <c r="D13" s="31">
        <f>'Data Sheet'!H22</f>
        <v>4225</v>
      </c>
      <c r="E13" s="31">
        <f>'Data Sheet'!I22</f>
        <v>4678</v>
      </c>
      <c r="F13" s="31">
        <f>'Data Sheet'!J22</f>
        <v>4812</v>
      </c>
      <c r="G13" s="31">
        <f>'Data Sheet'!K22</f>
        <v>4902</v>
      </c>
    </row>
    <row r="14" spans="1:12" x14ac:dyDescent="0.35">
      <c r="A14" s="53" t="s">
        <v>12</v>
      </c>
      <c r="B14" s="31">
        <f>'Data Sheet'!F23</f>
        <v>195</v>
      </c>
      <c r="C14" s="31">
        <f>'Data Sheet'!G23</f>
        <v>200</v>
      </c>
      <c r="D14" s="31">
        <f>'Data Sheet'!H23</f>
        <v>284</v>
      </c>
      <c r="E14" s="31">
        <f>'Data Sheet'!I23</f>
        <v>470</v>
      </c>
      <c r="F14" s="31">
        <f>'Data Sheet'!J23</f>
        <v>416</v>
      </c>
      <c r="G14" s="31">
        <f>'Data Sheet'!K23</f>
        <v>416</v>
      </c>
    </row>
    <row r="15" spans="1:12" x14ac:dyDescent="0.35">
      <c r="A15" s="53" t="s">
        <v>13</v>
      </c>
      <c r="B15" s="31">
        <f>'Data Sheet'!F24</f>
        <v>26628</v>
      </c>
      <c r="C15" s="31">
        <f>'Data Sheet'!G24</f>
        <v>30110</v>
      </c>
      <c r="D15" s="31">
        <f>'Data Sheet'!H24</f>
        <v>33322</v>
      </c>
      <c r="E15" s="31">
        <f>'Data Sheet'!I24</f>
        <v>35988</v>
      </c>
      <c r="F15" s="31">
        <f>'Data Sheet'!J24</f>
        <v>37608</v>
      </c>
      <c r="G15" s="31">
        <f>'Data Sheet'!K24</f>
        <v>39995</v>
      </c>
    </row>
    <row r="16" spans="1:12" x14ac:dyDescent="0.35">
      <c r="A16" s="53" t="s">
        <v>14</v>
      </c>
      <c r="B16" s="31">
        <f>'Data Sheet'!F25</f>
        <v>7205</v>
      </c>
      <c r="C16" s="31">
        <f>'Data Sheet'!G25</f>
        <v>7964</v>
      </c>
      <c r="D16" s="31">
        <f>'Data Sheet'!H25</f>
        <v>9214</v>
      </c>
      <c r="E16" s="31">
        <f>'Data Sheet'!I25</f>
        <v>9740</v>
      </c>
      <c r="F16" s="31">
        <f>'Data Sheet'!J25</f>
        <v>10858</v>
      </c>
      <c r="G16" s="31">
        <f>'Data Sheet'!K25</f>
        <v>10521</v>
      </c>
    </row>
    <row r="17" spans="1:12" x14ac:dyDescent="0.35">
      <c r="A17" s="53" t="s">
        <v>15</v>
      </c>
      <c r="B17" s="31">
        <f>'Data Sheet'!F26</f>
        <v>19351</v>
      </c>
      <c r="C17" s="31">
        <f>'Data Sheet'!G26</f>
        <v>22110</v>
      </c>
      <c r="D17" s="31">
        <f>'Data Sheet'!H26</f>
        <v>24095</v>
      </c>
      <c r="E17" s="31">
        <f>'Data Sheet'!I26</f>
        <v>26233</v>
      </c>
      <c r="F17" s="31">
        <f>'Data Sheet'!J26</f>
        <v>26713</v>
      </c>
      <c r="G17" s="31">
        <f>'Data Sheet'!K26</f>
        <v>29440</v>
      </c>
    </row>
    <row r="18" spans="1:12" x14ac:dyDescent="0.35">
      <c r="A18" s="53" t="s">
        <v>16</v>
      </c>
      <c r="B18" s="31">
        <f>'Data Sheet'!F48</f>
        <v>25505</v>
      </c>
      <c r="C18" s="31">
        <f>'Data Sheet'!G48</f>
        <v>25800</v>
      </c>
      <c r="D18" s="31">
        <f>'Data Sheet'!H48</f>
        <v>29225</v>
      </c>
      <c r="E18" s="31">
        <f>'Data Sheet'!I48</f>
        <v>27622</v>
      </c>
      <c r="F18" s="31">
        <f>'Data Sheet'!J48</f>
        <v>30961</v>
      </c>
      <c r="G18" s="31">
        <f>'Data Sheet'!K48</f>
        <v>33770</v>
      </c>
    </row>
    <row r="19" spans="1:12" x14ac:dyDescent="0.35">
      <c r="A19" s="53" t="s">
        <v>17</v>
      </c>
      <c r="B19" s="31">
        <f>'Data Sheet'!F49</f>
        <v>922</v>
      </c>
      <c r="C19" s="31">
        <f>'Data Sheet'!G49</f>
        <v>416</v>
      </c>
      <c r="D19" s="31">
        <f>'Data Sheet'!H49</f>
        <v>288</v>
      </c>
      <c r="E19" s="31">
        <f>'Data Sheet'!I49</f>
        <v>293</v>
      </c>
      <c r="F19" s="31">
        <f>'Data Sheet'!J49</f>
        <v>814</v>
      </c>
      <c r="G19" s="31">
        <f>'Data Sheet'!K49</f>
        <v>526</v>
      </c>
    </row>
    <row r="20" spans="1:12" x14ac:dyDescent="0.35">
      <c r="A20" s="53" t="s">
        <v>18</v>
      </c>
      <c r="B20" s="31">
        <f>'Data Sheet'!F50</f>
        <v>14205</v>
      </c>
      <c r="C20" s="31">
        <f>'Data Sheet'!G50</f>
        <v>20324</v>
      </c>
      <c r="D20" s="31">
        <f>'Data Sheet'!H50</f>
        <v>19478</v>
      </c>
      <c r="E20" s="31">
        <f>'Data Sheet'!I50</f>
        <v>24623</v>
      </c>
      <c r="F20" s="31">
        <f>'Data Sheet'!J50</f>
        <v>23541</v>
      </c>
      <c r="G20" s="31">
        <f>'Data Sheet'!K50</f>
        <v>21880</v>
      </c>
    </row>
    <row r="21" spans="1:12" x14ac:dyDescent="0.35">
      <c r="A21" s="53" t="s">
        <v>19</v>
      </c>
      <c r="B21" s="31">
        <f>'Data Sheet'!F53</f>
        <v>19294</v>
      </c>
      <c r="C21" s="31">
        <f>'Data Sheet'!G53</f>
        <v>22698</v>
      </c>
      <c r="D21" s="31">
        <f>'Data Sheet'!H53</f>
        <v>25424</v>
      </c>
      <c r="E21" s="31">
        <f>'Data Sheet'!I53</f>
        <v>30193</v>
      </c>
      <c r="F21" s="31">
        <f>'Data Sheet'!J53</f>
        <v>31158</v>
      </c>
      <c r="G21" s="31">
        <f>'Data Sheet'!K53</f>
        <v>35234</v>
      </c>
    </row>
    <row r="22" spans="1:12" x14ac:dyDescent="0.35">
      <c r="A22" s="53" t="s">
        <v>20</v>
      </c>
      <c r="B22" s="31">
        <f>'Data Sheet'!F51</f>
        <v>66879</v>
      </c>
      <c r="C22" s="31">
        <f>'Data Sheet'!G51</f>
        <v>70189</v>
      </c>
      <c r="D22" s="31">
        <f>'Data Sheet'!H51</f>
        <v>75605</v>
      </c>
      <c r="E22" s="31">
        <f>'Data Sheet'!I51</f>
        <v>83482</v>
      </c>
      <c r="F22" s="31">
        <f>'Data Sheet'!J51</f>
        <v>92479</v>
      </c>
      <c r="G22" s="31">
        <f>'Data Sheet'!K51</f>
        <v>98112</v>
      </c>
    </row>
    <row r="23" spans="1:12" x14ac:dyDescent="0.35">
      <c r="A23" s="53" t="s">
        <v>21</v>
      </c>
      <c r="B23" s="31">
        <f>'Data Sheet'!F55</f>
        <v>24714</v>
      </c>
      <c r="C23" s="31">
        <f>'Data Sheet'!G55</f>
        <v>17472</v>
      </c>
      <c r="D23" s="31">
        <f>'Data Sheet'!H55</f>
        <v>12173</v>
      </c>
      <c r="E23" s="31">
        <f>'Data Sheet'!I55</f>
        <v>14786</v>
      </c>
      <c r="F23" s="31">
        <f>'Data Sheet'!J55</f>
        <v>24455</v>
      </c>
      <c r="G23" s="31">
        <f>'Data Sheet'!K55</f>
        <v>22201</v>
      </c>
    </row>
    <row r="24" spans="1:12" x14ac:dyDescent="0.35">
      <c r="A24" s="53" t="s">
        <v>22</v>
      </c>
      <c r="B24" s="31">
        <f>'Data Sheet'!F45</f>
        <v>5325</v>
      </c>
      <c r="C24" s="31">
        <f>'Data Sheet'!G45</f>
        <v>5474</v>
      </c>
      <c r="D24" s="31">
        <f>'Data Sheet'!H45</f>
        <v>8299</v>
      </c>
      <c r="E24" s="31">
        <f>'Data Sheet'!I45</f>
        <v>8359</v>
      </c>
      <c r="F24" s="31">
        <f>'Data Sheet'!J45</f>
        <v>8227</v>
      </c>
      <c r="G24" s="31">
        <f>'Data Sheet'!K45</f>
        <v>9176</v>
      </c>
    </row>
    <row r="25" spans="1:12" x14ac:dyDescent="0.35">
      <c r="A25" s="53" t="s">
        <v>23</v>
      </c>
      <c r="B25" s="31">
        <f>'Data Sheet'!F46</f>
        <v>25835</v>
      </c>
      <c r="C25" s="31">
        <f>'Data Sheet'!G46</f>
        <v>35905</v>
      </c>
      <c r="D25" s="31">
        <f>'Data Sheet'!H46</f>
        <v>40890</v>
      </c>
      <c r="E25" s="31">
        <f>'Data Sheet'!I46</f>
        <v>39545</v>
      </c>
      <c r="F25" s="31">
        <f>'Data Sheet'!J46</f>
        <v>43750</v>
      </c>
      <c r="G25" s="31">
        <f>'Data Sheet'!K46</f>
        <v>52260</v>
      </c>
    </row>
    <row r="26" spans="1:12" x14ac:dyDescent="0.35">
      <c r="A26" s="53" t="s">
        <v>24</v>
      </c>
      <c r="B26" s="31">
        <f>'Data Sheet'!F43+'Data Sheet'!F44</f>
        <v>76351</v>
      </c>
      <c r="C26" s="31">
        <f>'Data Sheet'!G43+'Data Sheet'!G44</f>
        <v>75350</v>
      </c>
      <c r="D26" s="31">
        <f>'Data Sheet'!H43+'Data Sheet'!H44</f>
        <v>75407</v>
      </c>
      <c r="E26" s="31">
        <f>'Data Sheet'!I43+'Data Sheet'!I44</f>
        <v>88116</v>
      </c>
      <c r="F26" s="31">
        <f>'Data Sheet'!J43+'Data Sheet'!J44</f>
        <v>95818</v>
      </c>
      <c r="G26" s="31">
        <f>'Data Sheet'!K43+'Data Sheet'!K44</f>
        <v>92852</v>
      </c>
    </row>
    <row r="27" spans="1:12" x14ac:dyDescent="0.35">
      <c r="A27" s="53" t="s">
        <v>25</v>
      </c>
      <c r="B27" s="31">
        <f>'Data Sheet'!F82</f>
        <v>23224</v>
      </c>
      <c r="C27" s="31">
        <f>'Data Sheet'!G82</f>
        <v>23885</v>
      </c>
      <c r="D27" s="31">
        <f>'Data Sheet'!H82</f>
        <v>22467</v>
      </c>
      <c r="E27" s="31">
        <f>'Data Sheet'!I82</f>
        <v>25210</v>
      </c>
      <c r="F27" s="31">
        <f>'Data Sheet'!J82</f>
        <v>35694</v>
      </c>
      <c r="G27" s="31">
        <f>'Data Sheet'!K82</f>
        <v>33986</v>
      </c>
    </row>
    <row r="29" spans="1:12" s="30" customFormat="1" x14ac:dyDescent="0.35">
      <c r="A29" s="54" t="s">
        <v>26</v>
      </c>
      <c r="B29" s="32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 x14ac:dyDescent="0.35">
      <c r="A30" s="55" t="s">
        <v>27</v>
      </c>
      <c r="B30" s="33">
        <f>'Data Sheet'!B8</f>
        <v>1035</v>
      </c>
    </row>
    <row r="31" spans="1:12" x14ac:dyDescent="0.35">
      <c r="A31" s="55" t="s">
        <v>28</v>
      </c>
      <c r="B31" s="34">
        <f>'Data Sheet'!B9</f>
        <v>420031.63</v>
      </c>
    </row>
    <row r="32" spans="1:12" x14ac:dyDescent="0.35">
      <c r="A32" s="55" t="s">
        <v>29</v>
      </c>
      <c r="B32" s="33">
        <f>'Data Sheet'!K93</f>
        <v>405.56</v>
      </c>
    </row>
    <row r="34" spans="1:12" s="30" customFormat="1" x14ac:dyDescent="0.35">
      <c r="A34" s="52" t="s">
        <v>30</v>
      </c>
      <c r="B34" s="49" t="s">
        <v>1</v>
      </c>
      <c r="C34" s="49" t="s">
        <v>2</v>
      </c>
      <c r="D34" s="49" t="s">
        <v>3</v>
      </c>
      <c r="E34" s="49" t="s">
        <v>4</v>
      </c>
      <c r="F34" s="49" t="s">
        <v>5</v>
      </c>
      <c r="G34" s="49" t="s">
        <v>6</v>
      </c>
      <c r="H34" s="29"/>
      <c r="I34" s="29"/>
      <c r="J34" s="29"/>
      <c r="K34" s="29"/>
      <c r="L34" s="29"/>
    </row>
    <row r="35" spans="1:12" x14ac:dyDescent="0.35">
      <c r="A35" s="53" t="s">
        <v>31</v>
      </c>
      <c r="B35" s="35" t="s">
        <v>32</v>
      </c>
      <c r="C35" s="36">
        <f>C9/B9-1</f>
        <v>0.21069551715900947</v>
      </c>
      <c r="D35" s="36">
        <f>D9/C9-1</f>
        <v>0.20655864387829759</v>
      </c>
      <c r="E35" s="36">
        <f>E9/D9-1</f>
        <v>4.7033733741236095E-2</v>
      </c>
      <c r="F35" s="36">
        <f>F9/E9-1</f>
        <v>6.0649443612936782E-2</v>
      </c>
      <c r="G35" s="36">
        <f>G9/F9-1</f>
        <v>9.6079514080618544E-2</v>
      </c>
    </row>
    <row r="36" spans="1:12" x14ac:dyDescent="0.35">
      <c r="A36" s="53" t="s">
        <v>33</v>
      </c>
      <c r="B36" s="36">
        <f t="shared" ref="B36:G36" si="1">B11/B9</f>
        <v>0.27757982323433394</v>
      </c>
      <c r="C36" s="36">
        <f t="shared" si="1"/>
        <v>0.25888475102966929</v>
      </c>
      <c r="D36" s="36">
        <f t="shared" si="1"/>
        <v>0.23935898396778568</v>
      </c>
      <c r="E36" s="36">
        <f t="shared" si="1"/>
        <v>0.23703390381987374</v>
      </c>
      <c r="F36" s="36">
        <f t="shared" si="1"/>
        <v>0.24072642493404503</v>
      </c>
      <c r="G36" s="36">
        <f t="shared" si="1"/>
        <v>0.23666386789812482</v>
      </c>
    </row>
    <row r="37" spans="1:12" x14ac:dyDescent="0.35">
      <c r="A37" s="53" t="s">
        <v>34</v>
      </c>
      <c r="B37" s="31">
        <f t="shared" ref="B37:G37" si="2">B11-B13</f>
        <v>24622</v>
      </c>
      <c r="C37" s="31">
        <f t="shared" si="2"/>
        <v>28015</v>
      </c>
      <c r="D37" s="31">
        <f t="shared" si="2"/>
        <v>30905</v>
      </c>
      <c r="E37" s="31">
        <f t="shared" si="2"/>
        <v>31747</v>
      </c>
      <c r="F37" s="31">
        <f t="shared" si="2"/>
        <v>34424</v>
      </c>
      <c r="G37" s="31">
        <f t="shared" si="2"/>
        <v>37378</v>
      </c>
    </row>
    <row r="38" spans="1:12" x14ac:dyDescent="0.35">
      <c r="A38" s="53" t="s">
        <v>35</v>
      </c>
      <c r="B38" s="36">
        <f t="shared" ref="B38:G38" si="3">B37/B9</f>
        <v>0.24506330121824987</v>
      </c>
      <c r="C38" s="36">
        <f t="shared" si="3"/>
        <v>0.23030885967724699</v>
      </c>
      <c r="D38" s="36">
        <f t="shared" si="3"/>
        <v>0.21057185879659596</v>
      </c>
      <c r="E38" s="36">
        <f t="shared" si="3"/>
        <v>0.20659204789483959</v>
      </c>
      <c r="F38" s="36">
        <f t="shared" si="3"/>
        <v>0.21120314129701209</v>
      </c>
      <c r="G38" s="36">
        <f t="shared" si="3"/>
        <v>0.20922474111390987</v>
      </c>
    </row>
    <row r="39" spans="1:12" x14ac:dyDescent="0.35">
      <c r="A39" s="53" t="s">
        <v>36</v>
      </c>
      <c r="B39" s="36">
        <f t="shared" ref="B39:G39" si="4">B13/B9</f>
        <v>3.2516522016084085E-2</v>
      </c>
      <c r="C39" s="36">
        <f t="shared" si="4"/>
        <v>2.8575891352422292E-2</v>
      </c>
      <c r="D39" s="36">
        <f t="shared" si="4"/>
        <v>2.8787125171189708E-2</v>
      </c>
      <c r="E39" s="36">
        <f t="shared" si="4"/>
        <v>3.0441855925034164E-2</v>
      </c>
      <c r="F39" s="36">
        <f t="shared" si="4"/>
        <v>2.9523283637032948E-2</v>
      </c>
      <c r="G39" s="36">
        <f t="shared" si="4"/>
        <v>2.7439126784214944E-2</v>
      </c>
    </row>
    <row r="40" spans="1:12" x14ac:dyDescent="0.35">
      <c r="A40" s="53" t="s">
        <v>37</v>
      </c>
      <c r="B40" s="36">
        <f t="shared" ref="B40:G40" si="5">B16/B15</f>
        <v>0.27057984076911523</v>
      </c>
      <c r="C40" s="36">
        <f t="shared" si="5"/>
        <v>0.26449684490202591</v>
      </c>
      <c r="D40" s="36">
        <f t="shared" si="5"/>
        <v>0.27651401476502013</v>
      </c>
      <c r="E40" s="36">
        <f t="shared" si="5"/>
        <v>0.27064577081249308</v>
      </c>
      <c r="F40" s="36">
        <f t="shared" si="5"/>
        <v>0.28871516698574773</v>
      </c>
      <c r="G40" s="36">
        <f t="shared" si="5"/>
        <v>0.26305788223527943</v>
      </c>
    </row>
    <row r="41" spans="1:12" x14ac:dyDescent="0.35">
      <c r="A41" s="53" t="s">
        <v>38</v>
      </c>
      <c r="B41" s="35" t="s">
        <v>32</v>
      </c>
      <c r="C41" s="31">
        <f>(C18-B18)+(C19-B19)+C13</f>
        <v>3265</v>
      </c>
      <c r="D41" s="31">
        <f>(D18-C18)+(D19-C19)+D13</f>
        <v>7522</v>
      </c>
      <c r="E41" s="31">
        <f>(E18-D18)+(E19-D19)+E13</f>
        <v>3080</v>
      </c>
      <c r="F41" s="31">
        <f>(F18-E18)+(F19-E19)+F13</f>
        <v>8672</v>
      </c>
      <c r="G41" s="31">
        <f>(G18-F18)+(G19-F19)+G13</f>
        <v>7423</v>
      </c>
    </row>
    <row r="42" spans="1:12" x14ac:dyDescent="0.35">
      <c r="A42" s="53" t="s">
        <v>39</v>
      </c>
      <c r="B42" s="35" t="s">
        <v>32</v>
      </c>
      <c r="C42" s="36">
        <f>C41/C9</f>
        <v>2.6841278845126233E-2</v>
      </c>
      <c r="D42" s="36">
        <f>D41/D9</f>
        <v>5.1251303085843546E-2</v>
      </c>
      <c r="E42" s="36">
        <f>E41/E9</f>
        <v>2.0042949176807445E-2</v>
      </c>
      <c r="F42" s="36">
        <f>F41/F9</f>
        <v>5.3205718142217313E-2</v>
      </c>
      <c r="G42" s="36">
        <f>G41/G9</f>
        <v>4.1550517772180239E-2</v>
      </c>
    </row>
    <row r="43" spans="1:12" x14ac:dyDescent="0.35">
      <c r="A43" s="53" t="s">
        <v>40</v>
      </c>
      <c r="B43" s="31">
        <f t="shared" ref="B43:G43" si="6">B22-B23-B25</f>
        <v>16330</v>
      </c>
      <c r="C43" s="31">
        <f t="shared" si="6"/>
        <v>16812</v>
      </c>
      <c r="D43" s="31">
        <f t="shared" si="6"/>
        <v>22542</v>
      </c>
      <c r="E43" s="31">
        <f t="shared" si="6"/>
        <v>29151</v>
      </c>
      <c r="F43" s="31">
        <f t="shared" si="6"/>
        <v>24274</v>
      </c>
      <c r="G43" s="31">
        <f t="shared" si="6"/>
        <v>23651</v>
      </c>
    </row>
    <row r="44" spans="1:12" x14ac:dyDescent="0.35">
      <c r="A44" s="53" t="s">
        <v>41</v>
      </c>
      <c r="B44" s="36">
        <f t="shared" ref="B44:G44" si="7">B43/B9</f>
        <v>0.16253284497173343</v>
      </c>
      <c r="C44" s="36">
        <f t="shared" si="7"/>
        <v>0.13820997854341874</v>
      </c>
      <c r="D44" s="36">
        <f t="shared" si="7"/>
        <v>0.15359038475951678</v>
      </c>
      <c r="E44" s="36">
        <f t="shared" si="7"/>
        <v>0.18969870501724476</v>
      </c>
      <c r="F44" s="36">
        <f t="shared" si="7"/>
        <v>0.14892938217068533</v>
      </c>
      <c r="G44" s="36">
        <f t="shared" si="7"/>
        <v>0.13238734956619089</v>
      </c>
    </row>
    <row r="47" spans="1:12" s="37" customFormat="1" x14ac:dyDescent="0.35">
      <c r="A47" s="56" t="s">
        <v>170</v>
      </c>
      <c r="B47" s="30"/>
      <c r="C47" s="47"/>
      <c r="D47" s="47"/>
      <c r="E47" s="47"/>
      <c r="F47" s="47"/>
      <c r="G47" s="47"/>
      <c r="H47" s="47"/>
      <c r="I47" s="47"/>
      <c r="J47" s="47"/>
      <c r="K47" s="47"/>
      <c r="L47" s="47"/>
    </row>
    <row r="48" spans="1:12" s="37" customFormat="1" x14ac:dyDescent="0.35">
      <c r="A48" s="52" t="s">
        <v>42</v>
      </c>
      <c r="B48" s="49" t="s">
        <v>1</v>
      </c>
      <c r="C48" s="49" t="s">
        <v>2</v>
      </c>
      <c r="D48" s="49" t="s">
        <v>3</v>
      </c>
      <c r="E48" s="49" t="s">
        <v>4</v>
      </c>
      <c r="F48" s="49" t="s">
        <v>5</v>
      </c>
      <c r="G48" s="49" t="s">
        <v>6</v>
      </c>
      <c r="H48" s="49" t="s">
        <v>43</v>
      </c>
      <c r="I48" s="49" t="s">
        <v>44</v>
      </c>
      <c r="J48" s="49" t="s">
        <v>45</v>
      </c>
      <c r="K48" s="49" t="s">
        <v>46</v>
      </c>
      <c r="L48" s="49" t="s">
        <v>47</v>
      </c>
    </row>
    <row r="49" spans="1:12" s="37" customFormat="1" x14ac:dyDescent="0.35">
      <c r="A49" s="55" t="s">
        <v>31</v>
      </c>
      <c r="B49" s="39" t="s">
        <v>32</v>
      </c>
      <c r="C49" s="40">
        <f>C35</f>
        <v>0.21069551715900947</v>
      </c>
      <c r="D49" s="40">
        <f>D35</f>
        <v>0.20655864387829759</v>
      </c>
      <c r="E49" s="40">
        <f>E35</f>
        <v>4.7033733741236095E-2</v>
      </c>
      <c r="F49" s="40">
        <f>F35</f>
        <v>6.0649443612936782E-2</v>
      </c>
      <c r="G49" s="40">
        <f>G35</f>
        <v>9.6079514080618544E-2</v>
      </c>
      <c r="H49" s="66">
        <v>0.08</v>
      </c>
      <c r="I49" s="66">
        <v>0.08</v>
      </c>
      <c r="J49" s="66">
        <v>7.4999999999999997E-2</v>
      </c>
      <c r="K49" s="66">
        <v>7.0000000000000007E-2</v>
      </c>
      <c r="L49" s="66">
        <v>6.5000000000000002E-2</v>
      </c>
    </row>
    <row r="50" spans="1:12" s="37" customFormat="1" x14ac:dyDescent="0.35">
      <c r="A50" s="55" t="s">
        <v>35</v>
      </c>
      <c r="B50" s="40">
        <f t="shared" ref="B50:G51" si="8">B38</f>
        <v>0.24506330121824987</v>
      </c>
      <c r="C50" s="40">
        <f t="shared" si="8"/>
        <v>0.23030885967724699</v>
      </c>
      <c r="D50" s="40">
        <f t="shared" si="8"/>
        <v>0.21057185879659596</v>
      </c>
      <c r="E50" s="40">
        <f t="shared" si="8"/>
        <v>0.20659204789483959</v>
      </c>
      <c r="F50" s="40">
        <f t="shared" si="8"/>
        <v>0.21120314129701209</v>
      </c>
      <c r="G50" s="40">
        <f t="shared" si="8"/>
        <v>0.20922474111390987</v>
      </c>
      <c r="H50" s="66">
        <v>0.21</v>
      </c>
      <c r="I50" s="66">
        <v>0.21</v>
      </c>
      <c r="J50" s="66">
        <v>0.21</v>
      </c>
      <c r="K50" s="66">
        <v>0.21</v>
      </c>
      <c r="L50" s="66">
        <v>0.21</v>
      </c>
    </row>
    <row r="51" spans="1:12" s="37" customFormat="1" x14ac:dyDescent="0.35">
      <c r="A51" s="55" t="s">
        <v>36</v>
      </c>
      <c r="B51" s="40">
        <f t="shared" si="8"/>
        <v>3.2516522016084085E-2</v>
      </c>
      <c r="C51" s="40">
        <f t="shared" si="8"/>
        <v>2.8575891352422292E-2</v>
      </c>
      <c r="D51" s="40">
        <f t="shared" si="8"/>
        <v>2.8787125171189708E-2</v>
      </c>
      <c r="E51" s="40">
        <f t="shared" si="8"/>
        <v>3.0441855925034164E-2</v>
      </c>
      <c r="F51" s="40">
        <f t="shared" si="8"/>
        <v>2.9523283637032948E-2</v>
      </c>
      <c r="G51" s="40">
        <f t="shared" si="8"/>
        <v>2.7439126784214944E-2</v>
      </c>
      <c r="H51" s="67">
        <v>2.7E-2</v>
      </c>
      <c r="I51" s="67">
        <v>2.7E-2</v>
      </c>
      <c r="J51" s="67">
        <v>2.7E-2</v>
      </c>
      <c r="K51" s="67">
        <v>2.7E-2</v>
      </c>
      <c r="L51" s="67">
        <v>2.7E-2</v>
      </c>
    </row>
    <row r="52" spans="1:12" s="37" customFormat="1" x14ac:dyDescent="0.35">
      <c r="A52" s="55" t="s">
        <v>39</v>
      </c>
      <c r="B52" s="39" t="s">
        <v>32</v>
      </c>
      <c r="C52" s="40">
        <f>C42</f>
        <v>2.6841278845126233E-2</v>
      </c>
      <c r="D52" s="40">
        <f>D42</f>
        <v>5.1251303085843546E-2</v>
      </c>
      <c r="E52" s="40">
        <f>E42</f>
        <v>2.0042949176807445E-2</v>
      </c>
      <c r="F52" s="40">
        <f>F42</f>
        <v>5.3205718142217313E-2</v>
      </c>
      <c r="G52" s="40">
        <f>G42</f>
        <v>4.1550517772180239E-2</v>
      </c>
      <c r="H52" s="67">
        <v>3.5000000000000003E-2</v>
      </c>
      <c r="I52" s="67">
        <v>3.5000000000000003E-2</v>
      </c>
      <c r="J52" s="67">
        <v>3.5000000000000003E-2</v>
      </c>
      <c r="K52" s="67">
        <v>3.5000000000000003E-2</v>
      </c>
      <c r="L52" s="67">
        <v>3.5000000000000003E-2</v>
      </c>
    </row>
    <row r="53" spans="1:12" s="37" customFormat="1" x14ac:dyDescent="0.35">
      <c r="A53" s="55" t="s">
        <v>41</v>
      </c>
      <c r="B53" s="40">
        <f t="shared" ref="B53:G53" si="9">B44</f>
        <v>0.16253284497173343</v>
      </c>
      <c r="C53" s="40">
        <f t="shared" si="9"/>
        <v>0.13820997854341874</v>
      </c>
      <c r="D53" s="40">
        <f t="shared" si="9"/>
        <v>0.15359038475951678</v>
      </c>
      <c r="E53" s="40">
        <f t="shared" si="9"/>
        <v>0.18969870501724476</v>
      </c>
      <c r="F53" s="40">
        <f t="shared" si="9"/>
        <v>0.14892938217068533</v>
      </c>
      <c r="G53" s="40">
        <f t="shared" si="9"/>
        <v>0.13238734956619089</v>
      </c>
      <c r="H53" s="67">
        <v>0.13200000000000001</v>
      </c>
      <c r="I53" s="67">
        <v>0.13200000000000001</v>
      </c>
      <c r="J53" s="67">
        <v>0.13200000000000001</v>
      </c>
      <c r="K53" s="67">
        <v>0.13200000000000001</v>
      </c>
      <c r="L53" s="67">
        <v>0.13200000000000001</v>
      </c>
    </row>
    <row r="54" spans="1:12" s="37" customFormat="1" x14ac:dyDescent="0.35">
      <c r="A54" s="55" t="s">
        <v>48</v>
      </c>
      <c r="B54" s="40">
        <f t="shared" ref="B54:G54" si="10">B40</f>
        <v>0.27057984076911523</v>
      </c>
      <c r="C54" s="40">
        <f t="shared" si="10"/>
        <v>0.26449684490202591</v>
      </c>
      <c r="D54" s="40">
        <f t="shared" si="10"/>
        <v>0.27651401476502013</v>
      </c>
      <c r="E54" s="40">
        <f t="shared" si="10"/>
        <v>0.27064577081249308</v>
      </c>
      <c r="F54" s="40">
        <f t="shared" si="10"/>
        <v>0.28871516698574773</v>
      </c>
      <c r="G54" s="40">
        <f t="shared" si="10"/>
        <v>0.26305788223527943</v>
      </c>
      <c r="H54" s="67">
        <v>0.26</v>
      </c>
      <c r="I54" s="67">
        <v>0.26</v>
      </c>
      <c r="J54" s="67">
        <v>0.26</v>
      </c>
      <c r="K54" s="67">
        <v>0.26</v>
      </c>
      <c r="L54" s="67">
        <v>0.26</v>
      </c>
    </row>
    <row r="55" spans="1:12" s="37" customFormat="1" x14ac:dyDescent="0.35">
      <c r="A55" s="57"/>
    </row>
    <row r="56" spans="1:12" s="37" customFormat="1" x14ac:dyDescent="0.35">
      <c r="A56" s="52" t="s">
        <v>49</v>
      </c>
      <c r="B56" s="49" t="s">
        <v>1</v>
      </c>
      <c r="C56" s="49" t="s">
        <v>2</v>
      </c>
      <c r="D56" s="49" t="s">
        <v>3</v>
      </c>
      <c r="E56" s="49" t="s">
        <v>4</v>
      </c>
      <c r="F56" s="49" t="s">
        <v>5</v>
      </c>
      <c r="G56" s="49" t="s">
        <v>6</v>
      </c>
      <c r="H56" s="49" t="s">
        <v>43</v>
      </c>
      <c r="I56" s="49" t="s">
        <v>44</v>
      </c>
      <c r="J56" s="49" t="s">
        <v>45</v>
      </c>
      <c r="K56" s="49" t="s">
        <v>46</v>
      </c>
      <c r="L56" s="49" t="s">
        <v>47</v>
      </c>
    </row>
    <row r="57" spans="1:12" s="37" customFormat="1" x14ac:dyDescent="0.35">
      <c r="A57" s="58" t="s">
        <v>50</v>
      </c>
      <c r="B57" s="34">
        <f t="shared" ref="B57:G57" si="11">B9</f>
        <v>100472</v>
      </c>
      <c r="C57" s="34">
        <f t="shared" si="11"/>
        <v>121641</v>
      </c>
      <c r="D57" s="34">
        <f t="shared" si="11"/>
        <v>146767</v>
      </c>
      <c r="E57" s="34">
        <f t="shared" si="11"/>
        <v>153670</v>
      </c>
      <c r="F57" s="34">
        <f t="shared" si="11"/>
        <v>162990</v>
      </c>
      <c r="G57" s="34">
        <f t="shared" si="11"/>
        <v>178650</v>
      </c>
      <c r="H57" s="34">
        <f>G57*(1+H49)</f>
        <v>192942</v>
      </c>
      <c r="I57" s="34">
        <f>H57*(1+I49)</f>
        <v>208377.36000000002</v>
      </c>
      <c r="J57" s="34">
        <f>I57*(1+J49)</f>
        <v>224005.66200000001</v>
      </c>
      <c r="K57" s="34">
        <f>J57*(1+K49)</f>
        <v>239686.05834000002</v>
      </c>
      <c r="L57" s="34">
        <f>K57*(1+L49)</f>
        <v>255265.65213210002</v>
      </c>
    </row>
    <row r="58" spans="1:12" s="37" customFormat="1" x14ac:dyDescent="0.35">
      <c r="A58" s="55" t="s">
        <v>51</v>
      </c>
      <c r="B58" s="34">
        <f t="shared" ref="B58:G58" si="12">B11</f>
        <v>27889</v>
      </c>
      <c r="C58" s="34">
        <f t="shared" si="12"/>
        <v>31491</v>
      </c>
      <c r="D58" s="34">
        <f t="shared" si="12"/>
        <v>35130</v>
      </c>
      <c r="E58" s="34">
        <f t="shared" si="12"/>
        <v>36425</v>
      </c>
      <c r="F58" s="34">
        <f t="shared" si="12"/>
        <v>39236</v>
      </c>
      <c r="G58" s="34">
        <f t="shared" si="12"/>
        <v>42280</v>
      </c>
      <c r="H58" s="34">
        <f>H60-H59</f>
        <v>45727.254000000001</v>
      </c>
      <c r="I58" s="34">
        <f>I60-I59</f>
        <v>49385.43432</v>
      </c>
      <c r="J58" s="34">
        <f>J60-J59</f>
        <v>53089.341893999997</v>
      </c>
      <c r="K58" s="34">
        <f>K60-K59</f>
        <v>56805.59582658</v>
      </c>
      <c r="L58" s="34">
        <f>L60-L59</f>
        <v>60497.959555307702</v>
      </c>
    </row>
    <row r="59" spans="1:12" s="37" customFormat="1" x14ac:dyDescent="0.35">
      <c r="A59" s="55" t="s">
        <v>52</v>
      </c>
      <c r="B59" s="34">
        <f t="shared" ref="B59:G59" si="13">-B13</f>
        <v>-3267</v>
      </c>
      <c r="C59" s="34">
        <f t="shared" si="13"/>
        <v>-3476</v>
      </c>
      <c r="D59" s="34">
        <f t="shared" si="13"/>
        <v>-4225</v>
      </c>
      <c r="E59" s="34">
        <f t="shared" si="13"/>
        <v>-4678</v>
      </c>
      <c r="F59" s="34">
        <f t="shared" si="13"/>
        <v>-4812</v>
      </c>
      <c r="G59" s="34">
        <f t="shared" si="13"/>
        <v>-4902</v>
      </c>
      <c r="H59" s="34">
        <f>-H63</f>
        <v>-5209.4340000000002</v>
      </c>
      <c r="I59" s="34">
        <f>-I63</f>
        <v>-5626.1887200000001</v>
      </c>
      <c r="J59" s="34">
        <f>-J63</f>
        <v>-6048.1528740000003</v>
      </c>
      <c r="K59" s="34">
        <f>-K63</f>
        <v>-6471.5235751800001</v>
      </c>
      <c r="L59" s="34">
        <f>-L63</f>
        <v>-6892.1726075667002</v>
      </c>
    </row>
    <row r="60" spans="1:12" s="37" customFormat="1" x14ac:dyDescent="0.35">
      <c r="A60" s="58" t="s">
        <v>53</v>
      </c>
      <c r="B60" s="34">
        <f t="shared" ref="B60:G60" si="14">B58+B59</f>
        <v>24622</v>
      </c>
      <c r="C60" s="34">
        <f t="shared" si="14"/>
        <v>28015</v>
      </c>
      <c r="D60" s="34">
        <f t="shared" si="14"/>
        <v>30905</v>
      </c>
      <c r="E60" s="34">
        <f t="shared" si="14"/>
        <v>31747</v>
      </c>
      <c r="F60" s="34">
        <f t="shared" si="14"/>
        <v>34424</v>
      </c>
      <c r="G60" s="34">
        <f t="shared" si="14"/>
        <v>37378</v>
      </c>
      <c r="H60" s="34">
        <f>H57*H50</f>
        <v>40517.82</v>
      </c>
      <c r="I60" s="34">
        <f>I57*I50</f>
        <v>43759.245600000002</v>
      </c>
      <c r="J60" s="34">
        <f>J57*J50</f>
        <v>47041.189019999998</v>
      </c>
      <c r="K60" s="34">
        <f>K57*K50</f>
        <v>50334.072251400001</v>
      </c>
      <c r="L60" s="34">
        <f>L57*L50</f>
        <v>53605.786947740999</v>
      </c>
    </row>
    <row r="61" spans="1:12" s="37" customFormat="1" x14ac:dyDescent="0.35">
      <c r="A61" s="55" t="s">
        <v>54</v>
      </c>
      <c r="B61" s="41"/>
      <c r="C61" s="34">
        <f t="shared" ref="C61:L61" si="15">-C60*C54</f>
        <v>-7409.8791099302562</v>
      </c>
      <c r="D61" s="34">
        <f t="shared" si="15"/>
        <v>-8545.665626312948</v>
      </c>
      <c r="E61" s="34">
        <f t="shared" si="15"/>
        <v>-8592.1912859842178</v>
      </c>
      <c r="F61" s="34">
        <f t="shared" si="15"/>
        <v>-9938.7309083173805</v>
      </c>
      <c r="G61" s="34">
        <f t="shared" si="15"/>
        <v>-9832.577522190275</v>
      </c>
      <c r="H61" s="34">
        <f t="shared" si="15"/>
        <v>-10534.6332</v>
      </c>
      <c r="I61" s="34">
        <f t="shared" si="15"/>
        <v>-11377.403856000001</v>
      </c>
      <c r="J61" s="34">
        <f t="shared" si="15"/>
        <v>-12230.7091452</v>
      </c>
      <c r="K61" s="34">
        <f t="shared" si="15"/>
        <v>-13086.858785364</v>
      </c>
      <c r="L61" s="34">
        <f t="shared" si="15"/>
        <v>-13937.50460641266</v>
      </c>
    </row>
    <row r="62" spans="1:12" s="37" customFormat="1" x14ac:dyDescent="0.35">
      <c r="A62" s="58" t="s">
        <v>55</v>
      </c>
      <c r="B62" s="41"/>
      <c r="C62" s="34">
        <f t="shared" ref="C62:L62" si="16">C60+C61</f>
        <v>20605.120890069746</v>
      </c>
      <c r="D62" s="34">
        <f t="shared" si="16"/>
        <v>22359.334373687052</v>
      </c>
      <c r="E62" s="34">
        <f t="shared" si="16"/>
        <v>23154.80871401578</v>
      </c>
      <c r="F62" s="34">
        <f t="shared" si="16"/>
        <v>24485.269091682618</v>
      </c>
      <c r="G62" s="34">
        <f t="shared" si="16"/>
        <v>27545.422477809727</v>
      </c>
      <c r="H62" s="34">
        <f t="shared" si="16"/>
        <v>29983.186799999999</v>
      </c>
      <c r="I62" s="34">
        <f t="shared" si="16"/>
        <v>32381.841744000001</v>
      </c>
      <c r="J62" s="34">
        <f t="shared" si="16"/>
        <v>34810.479874799996</v>
      </c>
      <c r="K62" s="34">
        <f t="shared" si="16"/>
        <v>37247.213466036003</v>
      </c>
      <c r="L62" s="34">
        <f t="shared" si="16"/>
        <v>39668.28234132834</v>
      </c>
    </row>
    <row r="63" spans="1:12" s="37" customFormat="1" x14ac:dyDescent="0.35">
      <c r="A63" s="55" t="s">
        <v>56</v>
      </c>
      <c r="B63" s="41"/>
      <c r="C63" s="34">
        <f>-C59</f>
        <v>3476</v>
      </c>
      <c r="D63" s="34">
        <f>-D59</f>
        <v>4225</v>
      </c>
      <c r="E63" s="34">
        <f>-E59</f>
        <v>4678</v>
      </c>
      <c r="F63" s="34">
        <f>-F59</f>
        <v>4812</v>
      </c>
      <c r="G63" s="34">
        <f>-G59</f>
        <v>4902</v>
      </c>
      <c r="H63" s="34">
        <f>H57*H51</f>
        <v>5209.4340000000002</v>
      </c>
      <c r="I63" s="34">
        <f>I57*I51</f>
        <v>5626.1887200000001</v>
      </c>
      <c r="J63" s="34">
        <f>J57*J51</f>
        <v>6048.1528740000003</v>
      </c>
      <c r="K63" s="34">
        <f>K57*K51</f>
        <v>6471.5235751800001</v>
      </c>
      <c r="L63" s="34">
        <f>L57*L51</f>
        <v>6892.1726075667002</v>
      </c>
    </row>
    <row r="64" spans="1:12" s="37" customFormat="1" x14ac:dyDescent="0.35">
      <c r="A64" s="55" t="s">
        <v>57</v>
      </c>
      <c r="B64" s="41"/>
      <c r="C64" s="34">
        <f>-C41</f>
        <v>-3265</v>
      </c>
      <c r="D64" s="34">
        <f>-D41</f>
        <v>-7522</v>
      </c>
      <c r="E64" s="34">
        <f>-E41</f>
        <v>-3080</v>
      </c>
      <c r="F64" s="34">
        <f>-F41</f>
        <v>-8672</v>
      </c>
      <c r="G64" s="34">
        <f>-G41</f>
        <v>-7423</v>
      </c>
      <c r="H64" s="34">
        <f>-H57*H52</f>
        <v>-6752.97</v>
      </c>
      <c r="I64" s="34">
        <f>-I57*I52</f>
        <v>-7293.2076000000015</v>
      </c>
      <c r="J64" s="34">
        <f>-J57*J52</f>
        <v>-7840.1981700000015</v>
      </c>
      <c r="K64" s="34">
        <f>-K57*K52</f>
        <v>-8389.0120419000013</v>
      </c>
      <c r="L64" s="34">
        <f>-L57*L52</f>
        <v>-8934.2978246235016</v>
      </c>
    </row>
    <row r="65" spans="1:12" s="37" customFormat="1" x14ac:dyDescent="0.35">
      <c r="A65" s="55" t="s">
        <v>58</v>
      </c>
      <c r="B65" s="41"/>
      <c r="C65" s="34">
        <f t="shared" ref="C65:L65" si="17">-(C67-B67)</f>
        <v>-482</v>
      </c>
      <c r="D65" s="34">
        <f t="shared" si="17"/>
        <v>-5730</v>
      </c>
      <c r="E65" s="34">
        <f t="shared" si="17"/>
        <v>-6609</v>
      </c>
      <c r="F65" s="34">
        <f t="shared" si="17"/>
        <v>4877</v>
      </c>
      <c r="G65" s="34">
        <f t="shared" si="17"/>
        <v>623</v>
      </c>
      <c r="H65" s="34">
        <f t="shared" si="17"/>
        <v>-1817.344000000001</v>
      </c>
      <c r="I65" s="34">
        <f t="shared" si="17"/>
        <v>-2037.467520000002</v>
      </c>
      <c r="J65" s="34">
        <f t="shared" si="17"/>
        <v>-2062.9358639999991</v>
      </c>
      <c r="K65" s="34">
        <f t="shared" si="17"/>
        <v>-2069.8123168800012</v>
      </c>
      <c r="L65" s="34">
        <f t="shared" si="17"/>
        <v>-2056.506380557199</v>
      </c>
    </row>
    <row r="66" spans="1:12" s="37" customFormat="1" x14ac:dyDescent="0.35">
      <c r="A66" s="58" t="s">
        <v>59</v>
      </c>
      <c r="B66" s="41"/>
      <c r="C66" s="42">
        <f t="shared" ref="C66:L66" si="18">C62+C63+C64+C65</f>
        <v>20334.120890069746</v>
      </c>
      <c r="D66" s="42">
        <f t="shared" si="18"/>
        <v>13332.334373687052</v>
      </c>
      <c r="E66" s="42">
        <f t="shared" si="18"/>
        <v>18143.80871401578</v>
      </c>
      <c r="F66" s="42">
        <f t="shared" si="18"/>
        <v>25502.269091682618</v>
      </c>
      <c r="G66" s="42">
        <f t="shared" si="18"/>
        <v>25647.422477809727</v>
      </c>
      <c r="H66" s="42">
        <f t="shared" si="18"/>
        <v>26622.306799999995</v>
      </c>
      <c r="I66" s="42">
        <f t="shared" si="18"/>
        <v>28677.355344</v>
      </c>
      <c r="J66" s="42">
        <f t="shared" si="18"/>
        <v>30955.498714799993</v>
      </c>
      <c r="K66" s="42">
        <f t="shared" si="18"/>
        <v>33259.912682435999</v>
      </c>
      <c r="L66" s="42">
        <f t="shared" si="18"/>
        <v>35569.650743714345</v>
      </c>
    </row>
    <row r="67" spans="1:12" s="37" customFormat="1" x14ac:dyDescent="0.35">
      <c r="A67" s="55" t="s">
        <v>60</v>
      </c>
      <c r="B67" s="34">
        <f t="shared" ref="B67:G67" si="19">B43</f>
        <v>16330</v>
      </c>
      <c r="C67" s="34">
        <f t="shared" si="19"/>
        <v>16812</v>
      </c>
      <c r="D67" s="34">
        <f t="shared" si="19"/>
        <v>22542</v>
      </c>
      <c r="E67" s="34">
        <f t="shared" si="19"/>
        <v>29151</v>
      </c>
      <c r="F67" s="34">
        <f t="shared" si="19"/>
        <v>24274</v>
      </c>
      <c r="G67" s="34">
        <f t="shared" si="19"/>
        <v>23651</v>
      </c>
      <c r="H67" s="34">
        <f>H57*H53</f>
        <v>25468.344000000001</v>
      </c>
      <c r="I67" s="34">
        <f>I57*I53</f>
        <v>27505.811520000003</v>
      </c>
      <c r="J67" s="34">
        <f>J57*J53</f>
        <v>29568.747384000002</v>
      </c>
      <c r="K67" s="34">
        <f>K57*K53</f>
        <v>31638.559700880003</v>
      </c>
      <c r="L67" s="34">
        <f>L57*L53</f>
        <v>33695.066081437202</v>
      </c>
    </row>
    <row r="68" spans="1:12" s="37" customFormat="1" x14ac:dyDescent="0.35">
      <c r="A68" s="57"/>
    </row>
    <row r="69" spans="1:12" s="37" customFormat="1" x14ac:dyDescent="0.35">
      <c r="A69" s="56" t="s">
        <v>171</v>
      </c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</row>
    <row r="70" spans="1:12" s="37" customFormat="1" x14ac:dyDescent="0.35">
      <c r="A70" s="55" t="s">
        <v>61</v>
      </c>
      <c r="B70" s="66">
        <v>7.1999999999999995E-2</v>
      </c>
    </row>
    <row r="71" spans="1:12" s="37" customFormat="1" x14ac:dyDescent="0.35">
      <c r="A71" s="55" t="s">
        <v>62</v>
      </c>
      <c r="B71" s="68">
        <v>0.9</v>
      </c>
    </row>
    <row r="72" spans="1:12" s="37" customFormat="1" x14ac:dyDescent="0.35">
      <c r="A72" s="55" t="s">
        <v>63</v>
      </c>
      <c r="B72" s="66">
        <v>0.06</v>
      </c>
    </row>
    <row r="73" spans="1:12" s="37" customFormat="1" x14ac:dyDescent="0.35">
      <c r="A73" s="55" t="s">
        <v>64</v>
      </c>
      <c r="B73" s="40">
        <f>B70+B71*B72</f>
        <v>0.126</v>
      </c>
    </row>
    <row r="74" spans="1:12" s="37" customFormat="1" x14ac:dyDescent="0.35">
      <c r="A74" s="55" t="s">
        <v>65</v>
      </c>
      <c r="B74" s="40">
        <f>G14/G24</f>
        <v>4.5335658238884045E-2</v>
      </c>
    </row>
    <row r="75" spans="1:12" s="37" customFormat="1" x14ac:dyDescent="0.35">
      <c r="A75" s="55" t="s">
        <v>66</v>
      </c>
      <c r="B75" s="40">
        <f>H54</f>
        <v>0.26</v>
      </c>
    </row>
    <row r="76" spans="1:12" s="37" customFormat="1" x14ac:dyDescent="0.35">
      <c r="A76" s="55" t="s">
        <v>67</v>
      </c>
      <c r="B76" s="40">
        <f>B74*(1-B75)</f>
        <v>3.3548387096774192E-2</v>
      </c>
    </row>
    <row r="77" spans="1:12" s="37" customFormat="1" x14ac:dyDescent="0.35">
      <c r="A77" s="55" t="s">
        <v>68</v>
      </c>
      <c r="B77" s="34">
        <f>B31</f>
        <v>420031.63</v>
      </c>
    </row>
    <row r="78" spans="1:12" s="37" customFormat="1" x14ac:dyDescent="0.35">
      <c r="A78" s="55" t="s">
        <v>69</v>
      </c>
      <c r="B78" s="34">
        <f>G24</f>
        <v>9176</v>
      </c>
    </row>
    <row r="79" spans="1:12" s="37" customFormat="1" x14ac:dyDescent="0.35">
      <c r="A79" s="55" t="s">
        <v>70</v>
      </c>
      <c r="B79" s="40">
        <f>B77/(B77+B78)</f>
        <v>0.978621069713975</v>
      </c>
    </row>
    <row r="80" spans="1:12" s="37" customFormat="1" x14ac:dyDescent="0.35">
      <c r="A80" s="55" t="s">
        <v>71</v>
      </c>
      <c r="B80" s="40">
        <f>1-B79</f>
        <v>2.1378930286025E-2</v>
      </c>
    </row>
    <row r="81" spans="1:12" s="37" customFormat="1" x14ac:dyDescent="0.35">
      <c r="A81" s="58" t="s">
        <v>72</v>
      </c>
      <c r="B81" s="43">
        <f>B79*B73+B80*B76</f>
        <v>0.12402348341291136</v>
      </c>
    </row>
    <row r="82" spans="1:12" s="37" customFormat="1" x14ac:dyDescent="0.35">
      <c r="A82" s="57"/>
    </row>
    <row r="83" spans="1:12" s="37" customFormat="1" x14ac:dyDescent="0.35">
      <c r="A83" s="56" t="s">
        <v>172</v>
      </c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</row>
    <row r="84" spans="1:12" s="37" customFormat="1" x14ac:dyDescent="0.35">
      <c r="A84" s="55" t="s">
        <v>73</v>
      </c>
      <c r="B84" s="66">
        <v>4.4999999999999998E-2</v>
      </c>
      <c r="C84" s="38"/>
    </row>
    <row r="85" spans="1:12" s="37" customFormat="1" x14ac:dyDescent="0.35">
      <c r="A85" s="55" t="s">
        <v>74</v>
      </c>
      <c r="B85" s="34">
        <f>L66</f>
        <v>35569.650743714345</v>
      </c>
    </row>
    <row r="86" spans="1:12" s="37" customFormat="1" x14ac:dyDescent="0.35">
      <c r="A86" s="55" t="s">
        <v>75</v>
      </c>
      <c r="B86" s="34">
        <f>B85*(1+B84)</f>
        <v>37170.28502718149</v>
      </c>
    </row>
    <row r="87" spans="1:12" s="37" customFormat="1" x14ac:dyDescent="0.35">
      <c r="A87" s="58" t="s">
        <v>76</v>
      </c>
      <c r="B87" s="42">
        <f>B86/(B81-B84)</f>
        <v>470370.11558906263</v>
      </c>
      <c r="C87" s="38"/>
    </row>
    <row r="88" spans="1:12" s="37" customFormat="1" x14ac:dyDescent="0.35">
      <c r="A88" s="55" t="s">
        <v>77</v>
      </c>
      <c r="B88" s="44">
        <f>B87/L58</f>
        <v>7.7749748759550581</v>
      </c>
      <c r="C88" s="38"/>
    </row>
    <row r="89" spans="1:12" s="37" customFormat="1" x14ac:dyDescent="0.35">
      <c r="A89" s="57"/>
    </row>
    <row r="90" spans="1:12" s="37" customFormat="1" x14ac:dyDescent="0.35">
      <c r="A90" s="76" t="s">
        <v>173</v>
      </c>
      <c r="B90" s="77"/>
      <c r="C90" s="47"/>
      <c r="D90" s="47"/>
      <c r="E90" s="47"/>
      <c r="F90" s="47"/>
      <c r="G90" s="47"/>
      <c r="H90" s="47"/>
      <c r="I90" s="47"/>
      <c r="J90" s="47"/>
      <c r="K90" s="47"/>
      <c r="L90" s="47"/>
    </row>
    <row r="91" spans="1:12" s="37" customFormat="1" x14ac:dyDescent="0.35">
      <c r="A91" s="52" t="s">
        <v>78</v>
      </c>
      <c r="B91" s="49" t="s">
        <v>43</v>
      </c>
      <c r="C91" s="49" t="s">
        <v>44</v>
      </c>
      <c r="D91" s="49" t="s">
        <v>45</v>
      </c>
      <c r="E91" s="49" t="s">
        <v>46</v>
      </c>
      <c r="F91" s="49" t="s">
        <v>47</v>
      </c>
      <c r="G91" s="32"/>
    </row>
    <row r="92" spans="1:12" s="37" customFormat="1" x14ac:dyDescent="0.35">
      <c r="A92" s="55" t="s">
        <v>79</v>
      </c>
      <c r="B92" s="34">
        <f>H66</f>
        <v>26622.306799999995</v>
      </c>
      <c r="C92" s="34">
        <f>I66</f>
        <v>28677.355344</v>
      </c>
      <c r="D92" s="34">
        <f>J66</f>
        <v>30955.498714799993</v>
      </c>
      <c r="E92" s="34">
        <f>K66</f>
        <v>33259.912682435999</v>
      </c>
      <c r="F92" s="34">
        <f>L66</f>
        <v>35569.650743714345</v>
      </c>
    </row>
    <row r="93" spans="1:12" s="37" customFormat="1" x14ac:dyDescent="0.35">
      <c r="A93" s="55" t="s">
        <v>80</v>
      </c>
      <c r="B93" s="45">
        <v>1</v>
      </c>
      <c r="C93" s="45">
        <v>2</v>
      </c>
      <c r="D93" s="45">
        <v>3</v>
      </c>
      <c r="E93" s="45">
        <v>4</v>
      </c>
      <c r="F93" s="45">
        <v>5</v>
      </c>
      <c r="G93" s="38"/>
    </row>
    <row r="94" spans="1:12" s="37" customFormat="1" x14ac:dyDescent="0.35">
      <c r="A94" s="55" t="s">
        <v>81</v>
      </c>
      <c r="B94" s="46">
        <f>1/(1+$B$81)^B93</f>
        <v>0.88966112786510965</v>
      </c>
      <c r="C94" s="46">
        <f>1/(1+$B$81)^C93</f>
        <v>0.79149692243421899</v>
      </c>
      <c r="D94" s="46">
        <f>1/(1+$B$81)^D93</f>
        <v>0.70416404471459049</v>
      </c>
      <c r="E94" s="46">
        <f>1/(1+$B$81)^E93</f>
        <v>0.62646737822284004</v>
      </c>
      <c r="F94" s="46">
        <f>1/(1+$B$81)^F93</f>
        <v>0.55734367428043008</v>
      </c>
    </row>
    <row r="95" spans="1:12" s="37" customFormat="1" x14ac:dyDescent="0.35">
      <c r="A95" s="58" t="s">
        <v>82</v>
      </c>
      <c r="B95" s="42">
        <f>B92*B94</f>
        <v>23684.831494058973</v>
      </c>
      <c r="C95" s="42">
        <f>C92*C94</f>
        <v>22698.038498328504</v>
      </c>
      <c r="D95" s="42">
        <f>D92*D94</f>
        <v>21797.749181170871</v>
      </c>
      <c r="E95" s="42">
        <f>E92*E94</f>
        <v>20836.250298086266</v>
      </c>
      <c r="F95" s="42">
        <f>F92*F94</f>
        <v>19824.519838373384</v>
      </c>
    </row>
    <row r="96" spans="1:12" s="37" customFormat="1" x14ac:dyDescent="0.35">
      <c r="A96" s="57"/>
    </row>
    <row r="97" spans="1:12" s="37" customFormat="1" x14ac:dyDescent="0.35">
      <c r="A97" s="55" t="s">
        <v>83</v>
      </c>
      <c r="B97" s="34">
        <f>SUM(B95:F95)</f>
        <v>108841.389310018</v>
      </c>
    </row>
    <row r="98" spans="1:12" s="37" customFormat="1" x14ac:dyDescent="0.35">
      <c r="A98" s="55" t="s">
        <v>84</v>
      </c>
      <c r="B98" s="34">
        <f>B87</f>
        <v>470370.11558906263</v>
      </c>
    </row>
    <row r="99" spans="1:12" s="37" customFormat="1" x14ac:dyDescent="0.35">
      <c r="A99" s="55" t="s">
        <v>85</v>
      </c>
      <c r="B99" s="34">
        <f>B98*F94</f>
        <v>262157.80849411874</v>
      </c>
      <c r="C99" s="38"/>
    </row>
    <row r="100" spans="1:12" s="37" customFormat="1" x14ac:dyDescent="0.35">
      <c r="A100" s="58" t="s">
        <v>86</v>
      </c>
      <c r="B100" s="42">
        <f>B97+B99</f>
        <v>370999.19780413673</v>
      </c>
    </row>
    <row r="101" spans="1:12" s="37" customFormat="1" x14ac:dyDescent="0.35">
      <c r="A101" s="55" t="s">
        <v>87</v>
      </c>
      <c r="B101" s="40">
        <f>B99/B100</f>
        <v>0.70662634864380724</v>
      </c>
      <c r="C101" s="38"/>
    </row>
    <row r="102" spans="1:12" s="37" customFormat="1" x14ac:dyDescent="0.35">
      <c r="A102" s="57"/>
    </row>
    <row r="103" spans="1:12" s="37" customFormat="1" x14ac:dyDescent="0.35">
      <c r="A103" s="56" t="s">
        <v>174</v>
      </c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</row>
    <row r="104" spans="1:12" s="37" customFormat="1" x14ac:dyDescent="0.35">
      <c r="A104" s="55" t="s">
        <v>86</v>
      </c>
      <c r="B104" s="34">
        <f>B100</f>
        <v>370999.19780413673</v>
      </c>
    </row>
    <row r="105" spans="1:12" s="37" customFormat="1" x14ac:dyDescent="0.35">
      <c r="A105" s="60" t="s">
        <v>88</v>
      </c>
      <c r="B105" s="48">
        <f>G23</f>
        <v>22201</v>
      </c>
      <c r="C105" s="38"/>
    </row>
    <row r="106" spans="1:12" s="37" customFormat="1" x14ac:dyDescent="0.35">
      <c r="A106" s="55" t="s">
        <v>89</v>
      </c>
      <c r="B106" s="34">
        <f>G20</f>
        <v>21880</v>
      </c>
      <c r="C106" s="38"/>
    </row>
    <row r="107" spans="1:12" s="37" customFormat="1" x14ac:dyDescent="0.35">
      <c r="A107" s="55" t="s">
        <v>90</v>
      </c>
      <c r="B107" s="34">
        <f>-G24</f>
        <v>-9176</v>
      </c>
      <c r="C107" s="38"/>
    </row>
    <row r="108" spans="1:12" s="37" customFormat="1" x14ac:dyDescent="0.35">
      <c r="A108" s="58" t="s">
        <v>91</v>
      </c>
      <c r="B108" s="42">
        <f>SUM(B104:B107)</f>
        <v>405904.19780413673</v>
      </c>
    </row>
    <row r="109" spans="1:12" s="37" customFormat="1" x14ac:dyDescent="0.35">
      <c r="A109" s="55" t="s">
        <v>29</v>
      </c>
      <c r="B109" s="33">
        <f>B32</f>
        <v>405.56</v>
      </c>
    </row>
    <row r="110" spans="1:12" s="37" customFormat="1" x14ac:dyDescent="0.35">
      <c r="A110" s="58" t="s">
        <v>92</v>
      </c>
      <c r="B110" s="69">
        <f>B108/B109</f>
        <v>1000.848697613514</v>
      </c>
    </row>
    <row r="111" spans="1:12" s="37" customFormat="1" x14ac:dyDescent="0.35">
      <c r="A111" s="55" t="s">
        <v>27</v>
      </c>
      <c r="B111" s="33">
        <f>B30</f>
        <v>1035</v>
      </c>
    </row>
    <row r="112" spans="1:12" s="37" customFormat="1" x14ac:dyDescent="0.35">
      <c r="A112" s="58" t="s">
        <v>93</v>
      </c>
      <c r="B112" s="70">
        <f>B110/B111-1</f>
        <v>-3.2996427426556507E-2</v>
      </c>
    </row>
    <row r="113" spans="1:12" s="37" customFormat="1" x14ac:dyDescent="0.35">
      <c r="A113" s="55" t="s">
        <v>94</v>
      </c>
      <c r="B113" s="44">
        <f>B100/G11</f>
        <v>8.7748154636740008</v>
      </c>
    </row>
    <row r="114" spans="1:12" s="37" customFormat="1" x14ac:dyDescent="0.35">
      <c r="A114" s="57"/>
    </row>
    <row r="115" spans="1:12" s="37" customFormat="1" x14ac:dyDescent="0.35">
      <c r="A115" s="59" t="s">
        <v>95</v>
      </c>
      <c r="B115" s="51"/>
      <c r="C115" s="51"/>
      <c r="D115" s="47"/>
      <c r="E115" s="47"/>
      <c r="F115" s="47"/>
      <c r="G115" s="47"/>
      <c r="H115" s="47"/>
      <c r="I115" s="47"/>
      <c r="J115" s="47"/>
      <c r="K115" s="47"/>
      <c r="L115" s="47"/>
    </row>
    <row r="116" spans="1:12" s="37" customFormat="1" x14ac:dyDescent="0.35">
      <c r="A116" s="61" t="s">
        <v>175</v>
      </c>
      <c r="B116" s="50">
        <f>$B$84+(0-2)*0.005</f>
        <v>3.4999999999999996E-2</v>
      </c>
      <c r="C116" s="50">
        <f>$B$84+(1-2)*0.005</f>
        <v>0.04</v>
      </c>
      <c r="D116" s="50">
        <f>$B$84+(2-2)*0.005</f>
        <v>4.4999999999999998E-2</v>
      </c>
      <c r="E116" s="50">
        <f>$B$84+(3-2)*0.005</f>
        <v>4.9999999999999996E-2</v>
      </c>
      <c r="F116" s="50">
        <f>$B$84+(4-2)*0.005</f>
        <v>5.5E-2</v>
      </c>
    </row>
    <row r="117" spans="1:12" s="37" customFormat="1" x14ac:dyDescent="0.35">
      <c r="A117" s="62">
        <f>$B$81+(0-2)*0.01</f>
        <v>0.10402348341291136</v>
      </c>
      <c r="B117" s="33">
        <f t="shared" ref="B117:F121" si="20">(SUMPRODUCT($H$66:$L$66/(1+$A117)^$B$93:$F$93)+$L$66*(1+B$116)/($A117-B$116)/(1+$A117)^$F$93+$B$105+$B$106+$B$107)/$B$109</f>
        <v>1170.7528827045317</v>
      </c>
      <c r="C117" s="33">
        <f t="shared" si="20"/>
        <v>1237.5480547819629</v>
      </c>
      <c r="D117" s="33">
        <f t="shared" si="20"/>
        <v>1315.6599381436386</v>
      </c>
      <c r="E117" s="33">
        <f t="shared" si="20"/>
        <v>1408.2306972436022</v>
      </c>
      <c r="F117" s="33">
        <f t="shared" si="20"/>
        <v>1519.6843982839143</v>
      </c>
    </row>
    <row r="118" spans="1:12" s="37" customFormat="1" x14ac:dyDescent="0.35">
      <c r="A118" s="62">
        <f>$B$81+(1-2)*0.01</f>
        <v>0.11402348341291137</v>
      </c>
      <c r="B118" s="33">
        <f t="shared" si="20"/>
        <v>1031.0155436036737</v>
      </c>
      <c r="C118" s="33">
        <f t="shared" si="20"/>
        <v>1079.6889139420873</v>
      </c>
      <c r="D118" s="33">
        <f t="shared" si="20"/>
        <v>1135.4139959490121</v>
      </c>
      <c r="E118" s="33">
        <f t="shared" si="20"/>
        <v>1199.8429283302651</v>
      </c>
      <c r="F118" s="33">
        <f t="shared" si="20"/>
        <v>1275.1876739871466</v>
      </c>
    </row>
    <row r="119" spans="1:12" s="37" customFormat="1" x14ac:dyDescent="0.35">
      <c r="A119" s="62">
        <f>$B$81+(2-2)*0.01</f>
        <v>0.12402348341291136</v>
      </c>
      <c r="B119" s="33">
        <f t="shared" si="20"/>
        <v>922.74669064941349</v>
      </c>
      <c r="C119" s="33">
        <f t="shared" si="20"/>
        <v>959.473879294477</v>
      </c>
      <c r="D119" s="33">
        <f t="shared" si="20"/>
        <v>1000.8486976135141</v>
      </c>
      <c r="E119" s="33">
        <f t="shared" si="20"/>
        <v>1047.8129338323065</v>
      </c>
      <c r="F119" s="33">
        <f t="shared" si="20"/>
        <v>1101.5812653961343</v>
      </c>
      <c r="G119" s="38"/>
    </row>
    <row r="120" spans="1:12" s="37" customFormat="1" x14ac:dyDescent="0.35">
      <c r="A120" s="62">
        <f>$B$81+(3-2)*0.01</f>
        <v>0.13402348341291137</v>
      </c>
      <c r="B120" s="33">
        <f t="shared" si="20"/>
        <v>836.40965089312317</v>
      </c>
      <c r="C120" s="33">
        <f t="shared" si="20"/>
        <v>864.88911165101956</v>
      </c>
      <c r="D120" s="33">
        <f t="shared" si="20"/>
        <v>896.56766771119715</v>
      </c>
      <c r="E120" s="33">
        <f t="shared" si="20"/>
        <v>932.01642643061246</v>
      </c>
      <c r="F120" s="33">
        <f t="shared" si="20"/>
        <v>971.95103634114651</v>
      </c>
    </row>
    <row r="121" spans="1:12" s="37" customFormat="1" x14ac:dyDescent="0.35">
      <c r="A121" s="62">
        <f>$B$81+(4-2)*0.01</f>
        <v>0.14402348341291135</v>
      </c>
      <c r="B121" s="33">
        <f t="shared" si="20"/>
        <v>765.96684399887738</v>
      </c>
      <c r="C121" s="33">
        <f t="shared" si="20"/>
        <v>788.54057194198435</v>
      </c>
      <c r="D121" s="33">
        <f t="shared" si="20"/>
        <v>813.39393368154913</v>
      </c>
      <c r="E121" s="33">
        <f t="shared" si="20"/>
        <v>840.8906097121212</v>
      </c>
      <c r="F121" s="33">
        <f t="shared" si="20"/>
        <v>871.47598492367626</v>
      </c>
    </row>
    <row r="122" spans="1:12" s="37" customFormat="1" x14ac:dyDescent="0.35">
      <c r="A122" s="57"/>
    </row>
    <row r="123" spans="1:12" s="37" customFormat="1" x14ac:dyDescent="0.35">
      <c r="A123" s="57"/>
    </row>
    <row r="124" spans="1:12" s="37" customFormat="1" x14ac:dyDescent="0.35">
      <c r="A124" s="57"/>
    </row>
    <row r="125" spans="1:12" s="37" customFormat="1" x14ac:dyDescent="0.35">
      <c r="A125" s="57"/>
    </row>
  </sheetData>
  <mergeCells count="2">
    <mergeCell ref="A90:B90"/>
    <mergeCell ref="B6:D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25"/>
  <sheetViews>
    <sheetView showGridLines="0" zoomScale="76" zoomScaleNormal="100" workbookViewId="0"/>
  </sheetViews>
  <sheetFormatPr defaultColWidth="8.81640625" defaultRowHeight="14.5" x14ac:dyDescent="0.35"/>
  <cols>
    <col min="1" max="1" width="20.6328125" customWidth="1"/>
    <col min="2" max="6" width="13.453125" customWidth="1"/>
    <col min="7" max="7" width="14.81640625" customWidth="1"/>
    <col min="8" max="11" width="13.453125" customWidth="1"/>
    <col min="12" max="12" width="13.36328125" customWidth="1"/>
    <col min="13" max="14" width="12.1796875" customWidth="1"/>
  </cols>
  <sheetData>
    <row r="1" spans="1:14" ht="13.5" customHeight="1" x14ac:dyDescent="0.35">
      <c r="A1" s="24" t="str">
        <f t="array" ref="A1">'Data Sheet'!B1</f>
        <v>INFOSYS LTD</v>
      </c>
      <c r="B1" s="12"/>
      <c r="C1" s="12"/>
      <c r="D1" s="12"/>
      <c r="E1" s="12"/>
      <c r="F1" s="12"/>
      <c r="G1" s="12"/>
      <c r="H1" s="12" t="str">
        <f t="array" ref="H1">'Data Sheet'!$E$1</f>
        <v/>
      </c>
      <c r="I1" s="12"/>
      <c r="J1" s="25"/>
      <c r="K1" s="25"/>
      <c r="L1" s="12"/>
      <c r="M1" s="20" t="s">
        <v>96</v>
      </c>
      <c r="N1" s="12"/>
    </row>
    <row r="2" spans="1:14" ht="13.5" customHeight="1" x14ac:dyDescent="0.3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4" ht="13.5" customHeight="1" x14ac:dyDescent="0.35">
      <c r="A3" s="23" t="s">
        <v>97</v>
      </c>
      <c r="B3" s="22">
        <f t="array" ref="B3">'Data Sheet'!B12</f>
        <v>42825</v>
      </c>
      <c r="C3" s="22">
        <f t="array" ref="C3">'Data Sheet'!C12</f>
        <v>43190</v>
      </c>
      <c r="D3" s="22">
        <f t="array" ref="D3">'Data Sheet'!D12</f>
        <v>43555</v>
      </c>
      <c r="E3" s="22">
        <f t="array" ref="E3">'Data Sheet'!E12</f>
        <v>43921</v>
      </c>
      <c r="F3" s="22">
        <f t="array" ref="F3">'Data Sheet'!F12</f>
        <v>44286</v>
      </c>
      <c r="G3" s="22">
        <f t="array" ref="G3">'Data Sheet'!G12</f>
        <v>44651</v>
      </c>
      <c r="H3" s="22">
        <f t="array" ref="H3">'Data Sheet'!H12</f>
        <v>45016</v>
      </c>
      <c r="I3" s="22">
        <f t="array" ref="I3">'Data Sheet'!I12</f>
        <v>45382</v>
      </c>
      <c r="J3" s="22">
        <f t="array" ref="J3">'Data Sheet'!J12</f>
        <v>45747</v>
      </c>
      <c r="K3" s="22">
        <f t="array" ref="K3">'Data Sheet'!K12</f>
        <v>46112</v>
      </c>
      <c r="L3" s="27" t="s">
        <v>98</v>
      </c>
      <c r="M3" s="27" t="s">
        <v>99</v>
      </c>
      <c r="N3" s="27" t="s">
        <v>100</v>
      </c>
    </row>
    <row r="4" spans="1:14" ht="13.5" customHeight="1" x14ac:dyDescent="0.35">
      <c r="A4" s="2" t="s">
        <v>7</v>
      </c>
      <c r="B4" s="3">
        <f t="array" ref="B4">'Data Sheet'!B13</f>
        <v>68484</v>
      </c>
      <c r="C4" s="3">
        <f t="array" ref="C4">'Data Sheet'!C13</f>
        <v>70522</v>
      </c>
      <c r="D4" s="3">
        <f t="array" ref="D4">'Data Sheet'!D13</f>
        <v>82675</v>
      </c>
      <c r="E4" s="3">
        <f t="array" ref="E4">'Data Sheet'!E13</f>
        <v>90791</v>
      </c>
      <c r="F4" s="3">
        <f t="array" ref="F4">'Data Sheet'!F13</f>
        <v>100472</v>
      </c>
      <c r="G4" s="3">
        <f t="array" ref="G4">'Data Sheet'!G13</f>
        <v>121641</v>
      </c>
      <c r="H4" s="3">
        <f t="array" ref="H4">'Data Sheet'!H13</f>
        <v>146767</v>
      </c>
      <c r="I4" s="3">
        <f t="array" ref="I4">'Data Sheet'!I13</f>
        <v>153670</v>
      </c>
      <c r="J4" s="3">
        <f t="array" ref="J4">'Data Sheet'!J13</f>
        <v>162990</v>
      </c>
      <c r="K4" s="3">
        <f t="array" ref="K4">'Data Sheet'!K13</f>
        <v>178650</v>
      </c>
      <c r="L4" s="3"/>
      <c r="M4" s="3">
        <f t="array" ref="M4">$K4+G22*K4</f>
        <v>195814.60519050248</v>
      </c>
      <c r="N4" s="3">
        <f t="array" ref="N4">$K4+H22*L4</f>
        <v>178650</v>
      </c>
    </row>
    <row r="5" spans="1:14" ht="13.5" customHeight="1" x14ac:dyDescent="0.35">
      <c r="A5" s="2" t="s">
        <v>101</v>
      </c>
      <c r="B5" s="3">
        <f t="array" ref="B5">SUM('Data Sheet'!B14,'Data Sheet'!B16:B20,-1*'Data Sheet'!B15)</f>
        <v>49880</v>
      </c>
      <c r="C5" s="3">
        <f t="array" ref="C5">SUM('Data Sheet'!C14,'Data Sheet'!C16:C20,-1*'Data Sheet'!C15)</f>
        <v>51700</v>
      </c>
      <c r="D5" s="3">
        <f t="array" ref="D5">SUM('Data Sheet'!D14,'Data Sheet'!D16:D20,-1*'Data Sheet'!D15)</f>
        <v>62505</v>
      </c>
      <c r="E5" s="3">
        <f t="array" ref="E5">SUM('Data Sheet'!E14,'Data Sheet'!E16:E20,-1*'Data Sheet'!E15)</f>
        <v>68524</v>
      </c>
      <c r="F5" s="3">
        <f t="array" ref="F5">SUM('Data Sheet'!F14,'Data Sheet'!F16:F20,-1*'Data Sheet'!F15)</f>
        <v>72583</v>
      </c>
      <c r="G5" s="3">
        <f t="array" ref="G5">SUM('Data Sheet'!G14,'Data Sheet'!G16:G20,-1*'Data Sheet'!G15)</f>
        <v>90150</v>
      </c>
      <c r="H5" s="3">
        <f t="array" ref="H5">SUM('Data Sheet'!H14,'Data Sheet'!H16:H20,-1*'Data Sheet'!H15)</f>
        <v>111637</v>
      </c>
      <c r="I5" s="3">
        <f t="array" ref="I5">SUM('Data Sheet'!I14,'Data Sheet'!I16:I20,-1*'Data Sheet'!I15)</f>
        <v>117245</v>
      </c>
      <c r="J5" s="3">
        <f t="array" ref="J5">SUM('Data Sheet'!J14,'Data Sheet'!J16:J20,-1*'Data Sheet'!J15)</f>
        <v>123754</v>
      </c>
      <c r="K5" s="3">
        <f t="array" ref="K5">SUM('Data Sheet'!K14,'Data Sheet'!K16:K20,-1*'Data Sheet'!K15)</f>
        <v>136370</v>
      </c>
      <c r="L5" s="3"/>
      <c r="M5" s="3">
        <f t="array" ref="M5">M4-M6</f>
        <v>149188.10794479161</v>
      </c>
      <c r="N5" s="3">
        <f t="array" ref="N5">N4-N6</f>
        <v>178650</v>
      </c>
    </row>
    <row r="6" spans="1:14" ht="13.5" customHeight="1" x14ac:dyDescent="0.35">
      <c r="A6" s="2" t="s">
        <v>102</v>
      </c>
      <c r="B6" s="3">
        <f t="array" ref="B6">B4-B5</f>
        <v>18604</v>
      </c>
      <c r="C6" s="3">
        <f t="array" ref="C6">C4-C5</f>
        <v>18822</v>
      </c>
      <c r="D6" s="3">
        <f t="array" ref="D6">D4-D5</f>
        <v>20170</v>
      </c>
      <c r="E6" s="3">
        <f t="array" ref="E6">E4-E5</f>
        <v>22267</v>
      </c>
      <c r="F6" s="3">
        <f t="array" ref="F6">F4-F5</f>
        <v>27889</v>
      </c>
      <c r="G6" s="3">
        <f t="array" ref="G6">G4-G5</f>
        <v>31491</v>
      </c>
      <c r="H6" s="3">
        <f t="array" ref="H6">H4-H5</f>
        <v>35130</v>
      </c>
      <c r="I6" s="3">
        <f t="array" ref="I6">I4-I5</f>
        <v>36425</v>
      </c>
      <c r="J6" s="3">
        <f t="array" ref="J6">J4-J5</f>
        <v>39236</v>
      </c>
      <c r="K6" s="3">
        <f t="array" ref="K6">K4-K5</f>
        <v>42280</v>
      </c>
      <c r="L6" s="3"/>
      <c r="M6" s="3">
        <f t="array" ref="M6">M4*G23</f>
        <v>46626.497245710874</v>
      </c>
      <c r="N6" s="3">
        <f t="array" ref="N6">N4*H23</f>
        <v>0</v>
      </c>
    </row>
    <row r="7" spans="1:14" ht="13.5" customHeight="1" x14ac:dyDescent="0.35">
      <c r="A7" s="2" t="s">
        <v>103</v>
      </c>
      <c r="B7" s="3">
        <f t="array" ref="B7">'Data Sheet'!B21</f>
        <v>3050</v>
      </c>
      <c r="C7" s="3">
        <f t="array" ref="C7">'Data Sheet'!C21</f>
        <v>3311</v>
      </c>
      <c r="D7" s="3">
        <f t="array" ref="D7">'Data Sheet'!D21</f>
        <v>2882</v>
      </c>
      <c r="E7" s="3">
        <f t="array" ref="E7">'Data Sheet'!E21</f>
        <v>2803</v>
      </c>
      <c r="F7" s="3">
        <f t="array" ref="F7">'Data Sheet'!F21</f>
        <v>2201</v>
      </c>
      <c r="G7" s="3">
        <f t="array" ref="G7">'Data Sheet'!G21</f>
        <v>2295</v>
      </c>
      <c r="H7" s="3">
        <f t="array" ref="H7">'Data Sheet'!H21</f>
        <v>2701</v>
      </c>
      <c r="I7" s="3">
        <f t="array" ref="I7">'Data Sheet'!I21</f>
        <v>4711</v>
      </c>
      <c r="J7" s="3">
        <f t="array" ref="J7">'Data Sheet'!J21</f>
        <v>3600</v>
      </c>
      <c r="K7" s="3">
        <f t="array" ref="K7">'Data Sheet'!K21</f>
        <v>3033</v>
      </c>
      <c r="L7" s="3"/>
      <c r="M7" s="3">
        <v>0</v>
      </c>
      <c r="N7" s="3">
        <v>0</v>
      </c>
    </row>
    <row r="8" spans="1:14" ht="13.5" customHeight="1" x14ac:dyDescent="0.35">
      <c r="A8" s="2" t="s">
        <v>104</v>
      </c>
      <c r="B8" s="3">
        <f t="array" ref="B8">'Data Sheet'!B22</f>
        <v>1703</v>
      </c>
      <c r="C8" s="3">
        <f t="array" ref="C8">'Data Sheet'!C22</f>
        <v>1863</v>
      </c>
      <c r="D8" s="3">
        <f t="array" ref="D8">'Data Sheet'!D22</f>
        <v>2011</v>
      </c>
      <c r="E8" s="3">
        <f t="array" ref="E8">'Data Sheet'!E22</f>
        <v>2893</v>
      </c>
      <c r="F8" s="3">
        <f t="array" ref="F8">'Data Sheet'!F22</f>
        <v>3267</v>
      </c>
      <c r="G8" s="3">
        <f t="array" ref="G8">'Data Sheet'!G22</f>
        <v>3476</v>
      </c>
      <c r="H8" s="3">
        <f t="array" ref="H8">'Data Sheet'!H22</f>
        <v>4225</v>
      </c>
      <c r="I8" s="3">
        <f t="array" ref="I8">'Data Sheet'!I22</f>
        <v>4678</v>
      </c>
      <c r="J8" s="3">
        <f t="array" ref="J8">'Data Sheet'!J22</f>
        <v>4812</v>
      </c>
      <c r="K8" s="3">
        <f t="array" ref="K8">'Data Sheet'!K22</f>
        <v>4902</v>
      </c>
      <c r="L8" s="3"/>
      <c r="M8" s="3">
        <f>$L8</f>
        <v>0</v>
      </c>
      <c r="N8" s="3">
        <f>$L8</f>
        <v>0</v>
      </c>
    </row>
    <row r="9" spans="1:14" ht="13.5" customHeight="1" x14ac:dyDescent="0.35">
      <c r="A9" s="2" t="s">
        <v>12</v>
      </c>
      <c r="B9" s="3">
        <f>'Data Sheet'!B23</f>
        <v>0</v>
      </c>
      <c r="C9" s="3">
        <f>'Data Sheet'!C23</f>
        <v>0</v>
      </c>
      <c r="D9" s="3">
        <f>'Data Sheet'!D23</f>
        <v>0</v>
      </c>
      <c r="E9" s="3">
        <f t="array" ref="E9">'Data Sheet'!E23</f>
        <v>170</v>
      </c>
      <c r="F9" s="3">
        <f t="array" ref="F9">'Data Sheet'!F23</f>
        <v>195</v>
      </c>
      <c r="G9" s="3">
        <f t="array" ref="G9">'Data Sheet'!G23</f>
        <v>200</v>
      </c>
      <c r="H9" s="3">
        <f t="array" ref="H9">'Data Sheet'!H23</f>
        <v>284</v>
      </c>
      <c r="I9" s="3">
        <f t="array" ref="I9">'Data Sheet'!I23</f>
        <v>470</v>
      </c>
      <c r="J9" s="3">
        <f t="array" ref="J9">'Data Sheet'!J23</f>
        <v>416</v>
      </c>
      <c r="K9" s="3">
        <f t="array" ref="K9">'Data Sheet'!K23</f>
        <v>416</v>
      </c>
      <c r="L9" s="3"/>
      <c r="M9" s="3">
        <f>$L9</f>
        <v>0</v>
      </c>
      <c r="N9" s="3">
        <f>$L9</f>
        <v>0</v>
      </c>
    </row>
    <row r="10" spans="1:14" ht="13.5" customHeight="1" x14ac:dyDescent="0.35">
      <c r="A10" s="2" t="s">
        <v>13</v>
      </c>
      <c r="B10" s="3">
        <f t="array" ref="B10">'Data Sheet'!B24</f>
        <v>19951</v>
      </c>
      <c r="C10" s="3">
        <f t="array" ref="C10">'Data Sheet'!C24</f>
        <v>20270</v>
      </c>
      <c r="D10" s="3">
        <f t="array" ref="D10">'Data Sheet'!D24</f>
        <v>21041</v>
      </c>
      <c r="E10" s="3">
        <f t="array" ref="E10">'Data Sheet'!E24</f>
        <v>22007</v>
      </c>
      <c r="F10" s="3">
        <f t="array" ref="F10">'Data Sheet'!F24</f>
        <v>26628</v>
      </c>
      <c r="G10" s="3">
        <f t="array" ref="G10">'Data Sheet'!G24</f>
        <v>30110</v>
      </c>
      <c r="H10" s="3">
        <f t="array" ref="H10">'Data Sheet'!H24</f>
        <v>33322</v>
      </c>
      <c r="I10" s="3">
        <f t="array" ref="I10">'Data Sheet'!I24</f>
        <v>35988</v>
      </c>
      <c r="J10" s="3">
        <f t="array" ref="J10">'Data Sheet'!J24</f>
        <v>37608</v>
      </c>
      <c r="K10" s="3">
        <f t="array" ref="K10">'Data Sheet'!K24</f>
        <v>39995</v>
      </c>
      <c r="L10" s="3"/>
      <c r="M10" s="3">
        <f t="array" ref="M10">M6+M7-SUM(M8:M9)</f>
        <v>46626.497245710874</v>
      </c>
      <c r="N10" s="3">
        <f t="array" ref="N10">N6+N7-SUM(N8:N9)</f>
        <v>0</v>
      </c>
    </row>
    <row r="11" spans="1:14" ht="13.5" customHeight="1" x14ac:dyDescent="0.35">
      <c r="A11" s="2" t="s">
        <v>14</v>
      </c>
      <c r="B11" s="3">
        <f t="array" ref="B11">'Data Sheet'!B25</f>
        <v>5598</v>
      </c>
      <c r="C11" s="3">
        <f t="array" ref="C11">'Data Sheet'!C25</f>
        <v>4241</v>
      </c>
      <c r="D11" s="3">
        <f t="array" ref="D11">'Data Sheet'!D25</f>
        <v>5631</v>
      </c>
      <c r="E11" s="3">
        <f t="array" ref="E11">'Data Sheet'!E25</f>
        <v>5368</v>
      </c>
      <c r="F11" s="3">
        <f t="array" ref="F11">'Data Sheet'!F25</f>
        <v>7205</v>
      </c>
      <c r="G11" s="3">
        <f t="array" ref="G11">'Data Sheet'!G25</f>
        <v>7964</v>
      </c>
      <c r="H11" s="3">
        <f t="array" ref="H11">'Data Sheet'!H25</f>
        <v>9214</v>
      </c>
      <c r="I11" s="3">
        <f t="array" ref="I11">'Data Sheet'!I25</f>
        <v>9740</v>
      </c>
      <c r="J11" s="3">
        <f t="array" ref="J11">'Data Sheet'!J25</f>
        <v>10858</v>
      </c>
      <c r="K11" s="3">
        <f t="array" ref="K11">'Data Sheet'!K25</f>
        <v>10521</v>
      </c>
      <c r="L11" s="3"/>
      <c r="M11" s="4">
        <f t="array" ref="M11">IF($L10&gt;0,$L11/$L10,0)</f>
        <v>0</v>
      </c>
      <c r="N11" s="4">
        <f t="array" ref="N11">IF($L10&gt;0,$L11/$L10,0)</f>
        <v>0</v>
      </c>
    </row>
    <row r="12" spans="1:14" ht="13.5" customHeight="1" x14ac:dyDescent="0.35">
      <c r="A12" s="2" t="s">
        <v>15</v>
      </c>
      <c r="B12" s="3">
        <f t="array" ref="B12">'Data Sheet'!B26</f>
        <v>14353</v>
      </c>
      <c r="C12" s="3">
        <f t="array" ref="C12">'Data Sheet'!C26</f>
        <v>16029</v>
      </c>
      <c r="D12" s="3">
        <f t="array" ref="D12">'Data Sheet'!D26</f>
        <v>15404</v>
      </c>
      <c r="E12" s="3">
        <f t="array" ref="E12">'Data Sheet'!E26</f>
        <v>16594</v>
      </c>
      <c r="F12" s="3">
        <f t="array" ref="F12">'Data Sheet'!F26</f>
        <v>19351</v>
      </c>
      <c r="G12" s="3">
        <f t="array" ref="G12">'Data Sheet'!G26</f>
        <v>22110</v>
      </c>
      <c r="H12" s="3">
        <f t="array" ref="H12">'Data Sheet'!H26</f>
        <v>24095</v>
      </c>
      <c r="I12" s="3">
        <f t="array" ref="I12">'Data Sheet'!I26</f>
        <v>26233</v>
      </c>
      <c r="J12" s="3">
        <f t="array" ref="J12">'Data Sheet'!J26</f>
        <v>26713</v>
      </c>
      <c r="K12" s="3">
        <f t="array" ref="K12">'Data Sheet'!K26</f>
        <v>29440</v>
      </c>
      <c r="L12" s="3"/>
      <c r="M12" s="3">
        <f t="array" ref="M12">M10-M11*M10</f>
        <v>46626.497245710874</v>
      </c>
      <c r="N12" s="3">
        <f t="array" ref="N12">N10-N11*N10</f>
        <v>0</v>
      </c>
    </row>
    <row r="13" spans="1:14" ht="13.5" customHeight="1" x14ac:dyDescent="0.35">
      <c r="A13" s="2" t="s">
        <v>105</v>
      </c>
      <c r="B13" s="3">
        <f t="array" ref="B13">IF('Data Sheet'!B93&gt;0,B12/'Data Sheet'!B93,0)</f>
        <v>31.243605650971944</v>
      </c>
      <c r="C13" s="3">
        <f t="array" ref="C13">IF('Data Sheet'!C93&gt;0,C12/'Data Sheet'!C93,0)</f>
        <v>36.694748408955633</v>
      </c>
      <c r="D13" s="3">
        <f t="array" ref="D13">IF('Data Sheet'!D93&gt;0,D12/'Data Sheet'!D93,0)</f>
        <v>35.258303005333154</v>
      </c>
      <c r="E13" s="3">
        <f t="array" ref="E13">IF('Data Sheet'!E93&gt;0,E12/'Data Sheet'!E93,0)</f>
        <v>38.962197698990373</v>
      </c>
      <c r="F13" s="3">
        <f t="array" ref="F13">IF('Data Sheet'!F93&gt;0,F12/'Data Sheet'!F93,0)</f>
        <v>45.417419672823712</v>
      </c>
      <c r="G13" s="3">
        <f t="array" ref="G13">IF('Data Sheet'!G93&gt;0,G12/'Data Sheet'!G93,0)</f>
        <v>52.559013003066532</v>
      </c>
      <c r="H13" s="3">
        <f t="array" ref="H13">IF('Data Sheet'!H93&gt;0,H12/'Data Sheet'!H93,0)</f>
        <v>58.079834160921756</v>
      </c>
      <c r="I13" s="3">
        <f t="array" ref="I13">IF('Data Sheet'!I93&gt;0,I12/'Data Sheet'!I93,0)</f>
        <v>63.198342528126432</v>
      </c>
      <c r="J13" s="3">
        <f t="array" ref="J13">IF('Data Sheet'!J93&gt;0,J12/'Data Sheet'!J93,0)</f>
        <v>64.317530638287636</v>
      </c>
      <c r="K13" s="3">
        <f t="array" ref="K13">IF('Data Sheet'!K93&gt;0,K12/'Data Sheet'!K93,0)</f>
        <v>72.590985304270632</v>
      </c>
      <c r="L13" s="3">
        <f t="array" ref="L13">IF('Data Sheet'!$B6&gt;0,L12/'Data Sheet'!$B6,0)</f>
        <v>0</v>
      </c>
      <c r="M13" s="3">
        <f t="array" ref="M13">IF('Data Sheet'!$B6&gt;0,M12/'Data Sheet'!$B6,0)</f>
        <v>114.89235858097342</v>
      </c>
      <c r="N13" s="3">
        <f t="array" ref="N13">IF('Data Sheet'!$B6&gt;0,N12/'Data Sheet'!$B6,0)</f>
        <v>0</v>
      </c>
    </row>
    <row r="14" spans="1:14" ht="13.5" customHeight="1" x14ac:dyDescent="0.35">
      <c r="A14" s="2" t="s">
        <v>106</v>
      </c>
      <c r="B14" s="3">
        <f t="array" ref="B14">IF(B15&gt;0,B15/B13,"")</f>
        <v>16.359507468821846</v>
      </c>
      <c r="C14" s="3">
        <f t="array" ref="C14">IF(C15&gt;0,C15/C13,"")</f>
        <v>15.421825316613639</v>
      </c>
      <c r="D14" s="3">
        <f t="array" ref="D14">IF(D15&gt;0,D15/D13,"")</f>
        <v>21.097158303038171</v>
      </c>
      <c r="E14" s="3">
        <f t="array" ref="E14">IF(E15&gt;0,E15/E13,"")</f>
        <v>16.464676991683742</v>
      </c>
      <c r="F14" s="3">
        <f t="array" ref="F14">IF(F15&gt;0,F15/F13,"")</f>
        <v>30.121702418479664</v>
      </c>
      <c r="G14" s="3">
        <f t="array" ref="G14">IF(G15&gt;0,G15/G13,"")</f>
        <v>36.280171393034827</v>
      </c>
      <c r="H14" s="3">
        <f t="array" ref="H14">IF(H15&gt;0,H15/H13,"")</f>
        <v>24.585986179705333</v>
      </c>
      <c r="I14" s="3">
        <f t="array" ref="I14">IF(I15&gt;0,I15/I13,"")</f>
        <v>23.703944440208897</v>
      </c>
      <c r="J14" s="3">
        <f t="array" ref="J14">IF(J15&gt;0,J15/J13,"")</f>
        <v>24.420247239171935</v>
      </c>
      <c r="K14" s="3">
        <f t="array" ref="K14">IF(K15&gt;0,K15/K13,"")</f>
        <v>17.228034510869566</v>
      </c>
      <c r="L14" s="3">
        <f t="array" ref="L14">IF(L13&gt;0,L15/L13,0)</f>
        <v>0</v>
      </c>
      <c r="M14" s="3">
        <f t="array" ref="M14">G24</f>
        <v>21.784075396750129</v>
      </c>
      <c r="N14" s="3">
        <f t="array" ref="N14">H24</f>
        <v>0</v>
      </c>
    </row>
    <row r="15" spans="1:14" ht="13.5" customHeight="1" x14ac:dyDescent="0.35">
      <c r="A15" s="2" t="s">
        <v>107</v>
      </c>
      <c r="B15" s="3">
        <f t="array" ref="B15">'Data Sheet'!B90</f>
        <v>511.13</v>
      </c>
      <c r="C15" s="3">
        <f t="array" ref="C15">'Data Sheet'!C90</f>
        <v>565.9</v>
      </c>
      <c r="D15" s="3">
        <f t="array" ref="D15">'Data Sheet'!D90</f>
        <v>743.85</v>
      </c>
      <c r="E15" s="3">
        <f t="array" ref="E15">'Data Sheet'!E90</f>
        <v>641.5</v>
      </c>
      <c r="F15" s="3">
        <f t="array" ref="F15">'Data Sheet'!F90</f>
        <v>1368.05</v>
      </c>
      <c r="G15" s="3">
        <f t="array" ref="G15">'Data Sheet'!G90</f>
        <v>1906.85</v>
      </c>
      <c r="H15" s="3">
        <f t="array" ref="H15">'Data Sheet'!H90</f>
        <v>1427.95</v>
      </c>
      <c r="I15" s="3">
        <f t="array" ref="I15">'Data Sheet'!I90</f>
        <v>1498.05</v>
      </c>
      <c r="J15" s="3">
        <f t="array" ref="J15">'Data Sheet'!J90</f>
        <v>1570.65</v>
      </c>
      <c r="K15" s="3">
        <f t="array" ref="K15">'Data Sheet'!K90</f>
        <v>1250.5999999999999</v>
      </c>
      <c r="L15" s="3">
        <f t="array" ref="L15">'Data Sheet'!B8</f>
        <v>1035</v>
      </c>
      <c r="M15" s="7">
        <f t="array" ref="M15">M13*M14</f>
        <v>2502.8238018383768</v>
      </c>
      <c r="N15" s="7">
        <f t="array" ref="N15">N13*N14</f>
        <v>0</v>
      </c>
    </row>
    <row r="16" spans="1:14" ht="13.5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13.5" customHeight="1" x14ac:dyDescent="0.35">
      <c r="A17" s="2" t="s">
        <v>108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13.5" customHeight="1" x14ac:dyDescent="0.35">
      <c r="A18" s="2" t="s">
        <v>109</v>
      </c>
      <c r="B18" s="5">
        <f t="array" ref="B18">IF('Data Sheet'!B26&gt;0,'Data Sheet'!B27/'Data Sheet'!B26,0)</f>
        <v>0.4104786455793214</v>
      </c>
      <c r="C18" s="5">
        <f t="array" ref="C18">IF('Data Sheet'!C26&gt;0,'Data Sheet'!C27/'Data Sheet'!C26,0)</f>
        <v>0.5905296649822197</v>
      </c>
      <c r="D18" s="5">
        <f t="array" ref="D18">IF('Data Sheet'!D26&gt;0,'Data Sheet'!D27/'Data Sheet'!D26,0)</f>
        <v>0.5987081277590236</v>
      </c>
      <c r="E18" s="5">
        <f t="array" ref="E18">IF('Data Sheet'!E26&gt;0,'Data Sheet'!E27/'Data Sheet'!E26,0)</f>
        <v>0.44757141135350126</v>
      </c>
      <c r="F18" s="5">
        <f t="array" ref="F18">IF('Data Sheet'!F26&gt;0,'Data Sheet'!F27/'Data Sheet'!F26,0)</f>
        <v>0.59271355485504629</v>
      </c>
      <c r="G18" s="5">
        <f t="array" ref="G18">IF('Data Sheet'!G26&gt;0,'Data Sheet'!G27/'Data Sheet'!G26,0)</f>
        <v>0.58831298055178649</v>
      </c>
      <c r="H18" s="5">
        <f t="array" ref="H18">IF('Data Sheet'!H26&gt;0,'Data Sheet'!H27/'Data Sheet'!H26,0)</f>
        <v>0.58390537455903713</v>
      </c>
      <c r="I18" s="5">
        <f t="array" ref="I18">IF('Data Sheet'!I26&gt;0,'Data Sheet'!I27/'Data Sheet'!I26,0)</f>
        <v>0.72630656043914155</v>
      </c>
      <c r="J18" s="5">
        <f t="array" ref="J18">IF('Data Sheet'!J26&gt;0,'Data Sheet'!J27/'Data Sheet'!J26,0)</f>
        <v>0.66738292217272488</v>
      </c>
      <c r="K18" s="5">
        <f t="array" ref="K18">IF('Data Sheet'!K26&gt;0,'Data Sheet'!K27/'Data Sheet'!K26,0)</f>
        <v>0.66</v>
      </c>
      <c r="L18" s="1"/>
      <c r="M18" s="1"/>
      <c r="N18" s="1"/>
    </row>
    <row r="19" spans="1:14" ht="13.5" customHeight="1" x14ac:dyDescent="0.35">
      <c r="A19" s="2" t="s">
        <v>110</v>
      </c>
      <c r="B19" s="5">
        <f t="array" ref="B19">IF(B6&gt;0,B6/B4,0)</f>
        <v>0.27165469306699375</v>
      </c>
      <c r="C19" s="5">
        <f t="array" ref="C19">IF(C6&gt;0,C6/C4,0)</f>
        <v>0.26689543688494372</v>
      </c>
      <c r="D19" s="5">
        <f t="array" ref="D19">IF(D6&gt;0,D6/D4,0)</f>
        <v>0.24396734200181433</v>
      </c>
      <c r="E19" s="5">
        <f t="array" ref="E19">IF(E6&gt;0,E6/E4,0)</f>
        <v>0.24525558700752279</v>
      </c>
      <c r="F19" s="5">
        <f t="array" ref="F19">IF(F6&gt;0,F6/F4,0)</f>
        <v>0.27757982323433394</v>
      </c>
      <c r="G19" s="5">
        <f t="array" ref="G19">IF(G6&gt;0,G6/G4,0)</f>
        <v>0.25888475102966929</v>
      </c>
      <c r="H19" s="5">
        <f t="array" ref="H19">IF(H6&gt;0,H6/H4,0)</f>
        <v>0.23935898396778568</v>
      </c>
      <c r="I19" s="5">
        <f t="array" ref="I19">IF(I6&gt;0,I6/I4,0)</f>
        <v>0.23703390381987374</v>
      </c>
      <c r="J19" s="5">
        <f t="array" ref="J19">IF(J6&gt;0,J6/J4,0)</f>
        <v>0.24072642493404503</v>
      </c>
      <c r="K19" s="5">
        <f t="array" ref="K19">IF(K6&gt;0,K6/K4,0)</f>
        <v>0.23666386789812482</v>
      </c>
      <c r="L19" s="5">
        <f t="array" ref="L19">IF(L6&gt;0,L6/L4,0)</f>
        <v>0</v>
      </c>
      <c r="M19" s="1"/>
      <c r="N19" s="1"/>
    </row>
    <row r="20" spans="1:14" ht="13.5" customHeight="1" x14ac:dyDescent="0.35">
      <c r="A20" s="12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12"/>
      <c r="N20" s="12"/>
    </row>
    <row r="21" spans="1:14" ht="13.5" customHeight="1" x14ac:dyDescent="0.35">
      <c r="A21" s="28" t="s">
        <v>167</v>
      </c>
      <c r="B21" s="27" t="s">
        <v>111</v>
      </c>
      <c r="C21" s="27" t="s">
        <v>112</v>
      </c>
      <c r="D21" s="27" t="s">
        <v>113</v>
      </c>
      <c r="E21" s="27" t="s">
        <v>114</v>
      </c>
      <c r="F21" s="27" t="s">
        <v>115</v>
      </c>
      <c r="G21" s="27" t="s">
        <v>116</v>
      </c>
      <c r="H21" s="27" t="s">
        <v>117</v>
      </c>
      <c r="I21" s="26"/>
      <c r="J21" s="26"/>
      <c r="K21" s="26"/>
      <c r="L21" s="26"/>
      <c r="M21" s="12"/>
      <c r="N21" s="12"/>
    </row>
    <row r="22" spans="1:14" ht="13.5" customHeight="1" x14ac:dyDescent="0.35">
      <c r="A22" s="2" t="s">
        <v>118</v>
      </c>
      <c r="B22" s="5">
        <f t="array" ref="B22">IF(B4=0,"",POWER($K4/B4,1/9)-1)</f>
        <v>0.11241852195135271</v>
      </c>
      <c r="C22" s="5">
        <f t="array" ref="C22">IF(D4=0,"",POWER($K4/D4,1/7)-1)</f>
        <v>0.11635961365932812</v>
      </c>
      <c r="D22" s="5">
        <f t="array" ref="D22">IF(F4=0,"",POWER($K4/F4,1/5)-1)</f>
        <v>0.12199673885587958</v>
      </c>
      <c r="E22" s="5">
        <f t="array" ref="E22">IF(H4=0,"",POWER($K4/H4,1/3)-1)</f>
        <v>6.772202424210727E-2</v>
      </c>
      <c r="F22" s="5">
        <f t="array" ref="F22">IF(ISERROR(MAX(IF(J4=0,"",(K4-J4)/J4),IF(K4=0,"",(L4-K4)/K4))),"",MAX(IF(J4=0,"",(K4-J4)/J4),IF(K4=0,"",(L4-K4)/K4)))</f>
        <v>9.6079514080618447E-2</v>
      </c>
      <c r="G22" s="5">
        <f t="array" ref="G22">MAX(E22:F22)</f>
        <v>9.6079514080618447E-2</v>
      </c>
      <c r="H22" s="5">
        <f t="array" ref="H22">MIN(B22:F22)</f>
        <v>6.772202424210727E-2</v>
      </c>
    </row>
    <row r="23" spans="1:14" ht="13.5" customHeight="1" x14ac:dyDescent="0.35">
      <c r="A23" s="2" t="s">
        <v>110</v>
      </c>
      <c r="B23" s="5">
        <f t="array" ref="B23">IF(SUM(B4:$K$4)=0,"",SUMPRODUCT(B19:$K$19,B4:$K$4)/SUM(B4:$K$4))</f>
        <v>0.24842648101153941</v>
      </c>
      <c r="C23" s="5">
        <f t="array" ref="C23">IF(SUM(E4:$K$4)=0,"",SUMPRODUCT(E19:$K$19,E4:$K$4)/SUM(E4:$K$4))</f>
        <v>0.24578290039278269</v>
      </c>
      <c r="D23" s="5">
        <f t="array" ref="D23">IF(SUM(G4:$K$4)=0,"",SUMPRODUCT(G19:$K$19,G4:$K$4)/SUM(G4:$K$4))</f>
        <v>0.241662498461474</v>
      </c>
      <c r="E23" s="5">
        <f t="array" ref="E23">IF(SUM(I4:$K$4)=0,"",SUMPRODUCT(I19:$K$19,I4:$K$4)/SUM(I4:$K$4))</f>
        <v>0.23811552361147564</v>
      </c>
      <c r="F23" s="5">
        <f t="array" ref="F23">L19</f>
        <v>0</v>
      </c>
      <c r="G23" s="6">
        <f t="array" ref="G23">MAX(E23:F23)</f>
        <v>0.23811552361147564</v>
      </c>
      <c r="H23" s="6">
        <f t="array" ref="H23">MIN(B23:F23)</f>
        <v>0</v>
      </c>
    </row>
    <row r="24" spans="1:14" ht="13.5" customHeight="1" x14ac:dyDescent="0.35">
      <c r="A24" s="2" t="s">
        <v>119</v>
      </c>
      <c r="B24" s="3">
        <f t="array" ref="B24">IF(ISERROR(AVERAGEIF(B14:$L14,"&gt;0")),"",AVERAGEIF(B14:$L14,"&gt;0"))</f>
        <v>22.568325426162765</v>
      </c>
      <c r="C24" s="3">
        <f t="array" ref="C24">IF(ISERROR(AVERAGEIF(E14:$L14,"&gt;0")),"",AVERAGEIF(E14:$L14,"&gt;0"))</f>
        <v>24.686394739021999</v>
      </c>
      <c r="D24" s="3">
        <f t="array" ref="D24">IF(ISERROR(AVERAGEIF(G14:$L14,"&gt;0")),"",AVERAGEIF(G14:$L14,"&gt;0"))</f>
        <v>25.243676752598113</v>
      </c>
      <c r="E24" s="3">
        <f t="array" ref="E24">IF(ISERROR(AVERAGEIF(I14:$L14,"&gt;0")),"",AVERAGEIF(I14:$L14,"&gt;0"))</f>
        <v>21.784075396750129</v>
      </c>
      <c r="F24" s="3">
        <f t="array" ref="F24">L14</f>
        <v>0</v>
      </c>
      <c r="G24" s="7">
        <f t="array" ref="G24">MAX(E24:F24)</f>
        <v>21.784075396750129</v>
      </c>
      <c r="H24" s="7">
        <f t="array" ref="H24">MIN(B24:F24)</f>
        <v>0</v>
      </c>
    </row>
    <row r="25" spans="1:14" ht="13.5" customHeight="1" x14ac:dyDescent="0.35">
      <c r="A25" s="12"/>
      <c r="B25" s="12"/>
      <c r="C25" s="12"/>
      <c r="D25" s="12"/>
      <c r="E25" s="12"/>
      <c r="F25" s="12"/>
    </row>
  </sheetData>
  <hyperlinks>
    <hyperlink ref="M1" r:id="rId1" xr:uid="{00000000-0004-0000-0100-000000000000}"/>
  </hyperlinks>
  <pageMargins left="0.7" right="0.7" top="0.75" bottom="0.75" header="0.511811023622047" footer="0.3"/>
  <pageSetup orientation="landscape" horizontalDpi="300" verticalDpi="300"/>
  <headerFooter>
    <oddFooter>&amp;C&amp;"Helvetica Neue,Regular"&amp;12 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15"/>
  <sheetViews>
    <sheetView showGridLines="0" zoomScaleNormal="100" workbookViewId="0">
      <selection activeCell="D19" sqref="D19"/>
    </sheetView>
  </sheetViews>
  <sheetFormatPr defaultColWidth="8.81640625" defaultRowHeight="14.5" x14ac:dyDescent="0.35"/>
  <cols>
    <col min="1" max="1" width="20.6328125" customWidth="1"/>
    <col min="2" max="11" width="13.453125" customWidth="1"/>
  </cols>
  <sheetData>
    <row r="1" spans="1:12" ht="13.5" customHeight="1" x14ac:dyDescent="0.35">
      <c r="A1" s="24" t="str">
        <f t="array" ref="A1">'Profit &amp; Loss'!A1</f>
        <v>INFOSYS LTD</v>
      </c>
      <c r="B1" s="12"/>
      <c r="C1" s="12"/>
      <c r="D1" s="12"/>
      <c r="E1" s="12" t="str">
        <f t="array" ref="E1">'Data Sheet'!$E$1</f>
        <v/>
      </c>
      <c r="F1" s="12"/>
      <c r="G1" s="12"/>
      <c r="H1" s="12"/>
      <c r="I1" s="12"/>
      <c r="J1" s="20" t="s">
        <v>96</v>
      </c>
      <c r="K1" s="12"/>
      <c r="L1" s="12"/>
    </row>
    <row r="2" spans="1:12" ht="13.5" customHeight="1" x14ac:dyDescent="0.3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2" ht="13.5" customHeight="1" x14ac:dyDescent="0.35">
      <c r="A3" s="23" t="s">
        <v>97</v>
      </c>
      <c r="B3" s="22">
        <f t="array" ref="B3">'Data Sheet'!B30</f>
        <v>45382</v>
      </c>
      <c r="C3" s="22">
        <f t="array" ref="C3">'Data Sheet'!C30</f>
        <v>45473</v>
      </c>
      <c r="D3" s="22">
        <f t="array" ref="D3">'Data Sheet'!D30</f>
        <v>45565</v>
      </c>
      <c r="E3" s="22">
        <f t="array" ref="E3">'Data Sheet'!E30</f>
        <v>45657</v>
      </c>
      <c r="F3" s="22">
        <f t="array" ref="F3">'Data Sheet'!F30</f>
        <v>45747</v>
      </c>
      <c r="G3" s="22">
        <f t="array" ref="G3">'Data Sheet'!G30</f>
        <v>45838</v>
      </c>
      <c r="H3" s="22">
        <f t="array" ref="H3">'Data Sheet'!H30</f>
        <v>45930</v>
      </c>
      <c r="I3" s="22">
        <f t="array" ref="I3">'Data Sheet'!I30</f>
        <v>46022</v>
      </c>
      <c r="J3" s="22">
        <f t="array" ref="J3">'Data Sheet'!J30</f>
        <v>46112</v>
      </c>
      <c r="K3" s="22">
        <f t="array" ref="K3">'Data Sheet'!K30</f>
        <v>46203</v>
      </c>
      <c r="L3" s="12"/>
    </row>
    <row r="4" spans="1:12" ht="13.5" customHeight="1" x14ac:dyDescent="0.35">
      <c r="A4" s="2" t="s">
        <v>7</v>
      </c>
      <c r="B4" s="3">
        <f t="array" ref="B4">'Data Sheet'!B31</f>
        <v>37923</v>
      </c>
      <c r="C4" s="3">
        <f t="array" ref="C4">'Data Sheet'!C31</f>
        <v>39315</v>
      </c>
      <c r="D4" s="3">
        <f t="array" ref="D4">'Data Sheet'!D31</f>
        <v>40986</v>
      </c>
      <c r="E4" s="3">
        <f t="array" ref="E4">'Data Sheet'!E31</f>
        <v>41764</v>
      </c>
      <c r="F4" s="3">
        <f t="array" ref="F4">'Data Sheet'!F31</f>
        <v>40925</v>
      </c>
      <c r="G4" s="3">
        <f t="array" ref="G4">'Data Sheet'!G31</f>
        <v>42279</v>
      </c>
      <c r="H4" s="3">
        <f t="array" ref="H4">'Data Sheet'!H31</f>
        <v>44490</v>
      </c>
      <c r="I4" s="3">
        <f t="array" ref="I4">'Data Sheet'!I31</f>
        <v>45479</v>
      </c>
      <c r="J4" s="3">
        <f t="array" ref="J4">'Data Sheet'!J31</f>
        <v>46402</v>
      </c>
      <c r="K4" s="3">
        <f t="array" ref="K4">'Data Sheet'!K31</f>
        <v>48211</v>
      </c>
      <c r="L4" s="12"/>
    </row>
    <row r="5" spans="1:12" ht="13.5" customHeight="1" x14ac:dyDescent="0.35">
      <c r="A5" s="2" t="s">
        <v>101</v>
      </c>
      <c r="B5" s="3">
        <f t="array" ref="B5">'Data Sheet'!B32</f>
        <v>29139</v>
      </c>
      <c r="C5" s="3">
        <f t="array" ref="C5">'Data Sheet'!C32</f>
        <v>29878</v>
      </c>
      <c r="D5" s="3">
        <f t="array" ref="D5">'Data Sheet'!D32</f>
        <v>31177</v>
      </c>
      <c r="E5" s="3">
        <f t="array" ref="E5">'Data Sheet'!E32</f>
        <v>31649</v>
      </c>
      <c r="F5" s="3">
        <f t="array" ref="F5">'Data Sheet'!F32</f>
        <v>31051</v>
      </c>
      <c r="G5" s="3">
        <f t="array" ref="G5">'Data Sheet'!G32</f>
        <v>32336</v>
      </c>
      <c r="H5" s="3">
        <f t="array" ref="H5">'Data Sheet'!H32</f>
        <v>33955</v>
      </c>
      <c r="I5" s="3">
        <f t="array" ref="I5">'Data Sheet'!I32</f>
        <v>34845</v>
      </c>
      <c r="J5" s="3">
        <f t="array" ref="J5">'Data Sheet'!J32</f>
        <v>35235</v>
      </c>
      <c r="K5" s="3">
        <f t="array" ref="K5">'Data Sheet'!K32</f>
        <v>36802</v>
      </c>
      <c r="L5" s="12"/>
    </row>
    <row r="6" spans="1:12" ht="13.5" customHeight="1" x14ac:dyDescent="0.35">
      <c r="A6" s="2" t="s">
        <v>102</v>
      </c>
      <c r="B6" s="3">
        <f t="array" ref="B6">'Data Sheet'!B39</f>
        <v>8784</v>
      </c>
      <c r="C6" s="3">
        <f t="array" ref="C6">'Data Sheet'!C39</f>
        <v>9437</v>
      </c>
      <c r="D6" s="3">
        <f t="array" ref="D6">'Data Sheet'!D39</f>
        <v>9809</v>
      </c>
      <c r="E6" s="3">
        <f t="array" ref="E6">'Data Sheet'!E39</f>
        <v>10115</v>
      </c>
      <c r="F6" s="3">
        <f t="array" ref="F6">'Data Sheet'!F39</f>
        <v>9874</v>
      </c>
      <c r="G6" s="3">
        <f t="array" ref="G6">'Data Sheet'!G39</f>
        <v>9943</v>
      </c>
      <c r="H6" s="3">
        <f t="array" ref="H6">'Data Sheet'!H39</f>
        <v>10535</v>
      </c>
      <c r="I6" s="3">
        <f t="array" ref="I6">'Data Sheet'!I39</f>
        <v>10634</v>
      </c>
      <c r="J6" s="3">
        <f t="array" ref="J6">'Data Sheet'!J39</f>
        <v>11167</v>
      </c>
      <c r="K6" s="3">
        <f t="array" ref="K6">'Data Sheet'!K39</f>
        <v>11409</v>
      </c>
      <c r="L6" s="12"/>
    </row>
    <row r="7" spans="1:12" ht="13.5" customHeight="1" x14ac:dyDescent="0.35">
      <c r="A7" s="2" t="s">
        <v>103</v>
      </c>
      <c r="B7" s="3">
        <f t="array" ref="B7">'Data Sheet'!B33</f>
        <v>2729</v>
      </c>
      <c r="C7" s="3">
        <f t="array" ref="C7">'Data Sheet'!C33</f>
        <v>838</v>
      </c>
      <c r="D7" s="3">
        <f t="array" ref="D7">'Data Sheet'!D33</f>
        <v>712</v>
      </c>
      <c r="E7" s="3">
        <f t="array" ref="E7">'Data Sheet'!E33</f>
        <v>859</v>
      </c>
      <c r="F7" s="3">
        <f t="array" ref="F7">'Data Sheet'!F33</f>
        <v>1190</v>
      </c>
      <c r="G7" s="3">
        <f t="array" ref="G7">'Data Sheet'!G33</f>
        <v>1042</v>
      </c>
      <c r="H7" s="3">
        <f t="array" ref="H7">'Data Sheet'!H33</f>
        <v>982</v>
      </c>
      <c r="I7" s="3">
        <f t="array" ref="I7">'Data Sheet'!I33</f>
        <v>-150</v>
      </c>
      <c r="J7" s="3">
        <f t="array" ref="J7">'Data Sheet'!J33</f>
        <v>1159</v>
      </c>
      <c r="K7" s="3">
        <f t="array" ref="K7">'Data Sheet'!K33</f>
        <v>984</v>
      </c>
      <c r="L7" s="12"/>
    </row>
    <row r="8" spans="1:12" ht="13.5" customHeight="1" x14ac:dyDescent="0.35">
      <c r="A8" s="2" t="s">
        <v>104</v>
      </c>
      <c r="B8" s="3">
        <f t="array" ref="B8">'Data Sheet'!B34</f>
        <v>1163</v>
      </c>
      <c r="C8" s="3">
        <f t="array" ref="C8">'Data Sheet'!C34</f>
        <v>1149</v>
      </c>
      <c r="D8" s="3">
        <f t="array" ref="D8">'Data Sheet'!D34</f>
        <v>1160</v>
      </c>
      <c r="E8" s="3">
        <f t="array" ref="E8">'Data Sheet'!E34</f>
        <v>1203</v>
      </c>
      <c r="F8" s="3">
        <f t="array" ref="F8">'Data Sheet'!F34</f>
        <v>1299</v>
      </c>
      <c r="G8" s="3">
        <f t="array" ref="G8">'Data Sheet'!G34</f>
        <v>1140</v>
      </c>
      <c r="H8" s="3">
        <f t="array" ref="H8">'Data Sheet'!H34</f>
        <v>1182</v>
      </c>
      <c r="I8" s="3">
        <f t="array" ref="I8">'Data Sheet'!I34</f>
        <v>1155</v>
      </c>
      <c r="J8" s="3">
        <f t="array" ref="J8">'Data Sheet'!J34</f>
        <v>1424</v>
      </c>
      <c r="K8" s="3">
        <f t="array" ref="K8">'Data Sheet'!K34</f>
        <v>1246</v>
      </c>
      <c r="L8" s="12"/>
    </row>
    <row r="9" spans="1:12" ht="13.5" customHeight="1" x14ac:dyDescent="0.35">
      <c r="A9" s="2" t="s">
        <v>12</v>
      </c>
      <c r="B9" s="3">
        <f t="array" ref="B9">'Data Sheet'!B35</f>
        <v>110</v>
      </c>
      <c r="C9" s="3">
        <f t="array" ref="C9">'Data Sheet'!C35</f>
        <v>105</v>
      </c>
      <c r="D9" s="3">
        <f t="array" ref="D9">'Data Sheet'!D35</f>
        <v>108</v>
      </c>
      <c r="E9" s="3">
        <f t="array" ref="E9">'Data Sheet'!E35</f>
        <v>101</v>
      </c>
      <c r="F9" s="3">
        <f t="array" ref="F9">'Data Sheet'!F35</f>
        <v>102</v>
      </c>
      <c r="G9" s="3">
        <f t="array" ref="G9">'Data Sheet'!G35</f>
        <v>105</v>
      </c>
      <c r="H9" s="3">
        <f t="array" ref="H9">'Data Sheet'!H35</f>
        <v>106</v>
      </c>
      <c r="I9" s="3">
        <f t="array" ref="I9">'Data Sheet'!I35</f>
        <v>100</v>
      </c>
      <c r="J9" s="3">
        <f t="array" ref="J9">'Data Sheet'!J35</f>
        <v>105</v>
      </c>
      <c r="K9" s="3">
        <f t="array" ref="K9">'Data Sheet'!K35</f>
        <v>119</v>
      </c>
      <c r="L9" s="12"/>
    </row>
    <row r="10" spans="1:12" ht="13.5" customHeight="1" x14ac:dyDescent="0.35">
      <c r="A10" s="2" t="s">
        <v>13</v>
      </c>
      <c r="B10" s="3">
        <f t="array" ref="B10">'Data Sheet'!B36</f>
        <v>10240</v>
      </c>
      <c r="C10" s="3">
        <f t="array" ref="C10">'Data Sheet'!C36</f>
        <v>9021</v>
      </c>
      <c r="D10" s="3">
        <f t="array" ref="D10">'Data Sheet'!D36</f>
        <v>9253</v>
      </c>
      <c r="E10" s="3">
        <f t="array" ref="E10">'Data Sheet'!E36</f>
        <v>9670</v>
      </c>
      <c r="F10" s="3">
        <f t="array" ref="F10">'Data Sheet'!F36</f>
        <v>9663</v>
      </c>
      <c r="G10" s="3">
        <f t="array" ref="G10">'Data Sheet'!G36</f>
        <v>9740</v>
      </c>
      <c r="H10" s="3">
        <f t="array" ref="H10">'Data Sheet'!H36</f>
        <v>10229</v>
      </c>
      <c r="I10" s="3">
        <f t="array" ref="I10">'Data Sheet'!I36</f>
        <v>9229</v>
      </c>
      <c r="J10" s="3">
        <f t="array" ref="J10">'Data Sheet'!J36</f>
        <v>10797</v>
      </c>
      <c r="K10" s="3">
        <f t="array" ref="K10">'Data Sheet'!K36</f>
        <v>11028</v>
      </c>
      <c r="L10" s="12"/>
    </row>
    <row r="11" spans="1:12" ht="13.5" customHeight="1" x14ac:dyDescent="0.35">
      <c r="A11" s="2" t="s">
        <v>14</v>
      </c>
      <c r="B11" s="3">
        <f t="array" ref="B11">'Data Sheet'!B37</f>
        <v>2265</v>
      </c>
      <c r="C11" s="3">
        <f t="array" ref="C11">'Data Sheet'!C37</f>
        <v>2647</v>
      </c>
      <c r="D11" s="3">
        <f t="array" ref="D11">'Data Sheet'!D37</f>
        <v>2737</v>
      </c>
      <c r="E11" s="3">
        <f t="array" ref="E11">'Data Sheet'!E37</f>
        <v>2848</v>
      </c>
      <c r="F11" s="3">
        <f t="array" ref="F11">'Data Sheet'!F37</f>
        <v>2625</v>
      </c>
      <c r="G11" s="3">
        <f t="array" ref="G11">'Data Sheet'!G37</f>
        <v>2816</v>
      </c>
      <c r="H11" s="3">
        <f t="array" ref="H11">'Data Sheet'!H37</f>
        <v>2854</v>
      </c>
      <c r="I11" s="3">
        <f t="array" ref="I11">'Data Sheet'!I37</f>
        <v>2563</v>
      </c>
      <c r="J11" s="3">
        <f t="array" ref="J11">'Data Sheet'!J37</f>
        <v>2288</v>
      </c>
      <c r="K11" s="3">
        <f t="array" ref="K11">'Data Sheet'!K37</f>
        <v>3253</v>
      </c>
      <c r="L11" s="12"/>
    </row>
    <row r="12" spans="1:12" ht="13.5" customHeight="1" x14ac:dyDescent="0.35">
      <c r="A12" s="2" t="s">
        <v>15</v>
      </c>
      <c r="B12" s="3">
        <f t="array" ref="B12">'Data Sheet'!B38</f>
        <v>7969</v>
      </c>
      <c r="C12" s="3">
        <f t="array" ref="C12">'Data Sheet'!C38</f>
        <v>6368</v>
      </c>
      <c r="D12" s="3">
        <f t="array" ref="D12">'Data Sheet'!D38</f>
        <v>6506</v>
      </c>
      <c r="E12" s="3">
        <f t="array" ref="E12">'Data Sheet'!E38</f>
        <v>6806</v>
      </c>
      <c r="F12" s="3">
        <f t="array" ref="F12">'Data Sheet'!F38</f>
        <v>7033</v>
      </c>
      <c r="G12" s="3">
        <f t="array" ref="G12">'Data Sheet'!G38</f>
        <v>6921</v>
      </c>
      <c r="H12" s="3">
        <f t="array" ref="H12">'Data Sheet'!H38</f>
        <v>7364</v>
      </c>
      <c r="I12" s="3">
        <f t="array" ref="I12">'Data Sheet'!I38</f>
        <v>6654</v>
      </c>
      <c r="J12" s="3">
        <f t="array" ref="J12">'Data Sheet'!J38</f>
        <v>8501</v>
      </c>
      <c r="K12" s="3">
        <f t="array" ref="K12">'Data Sheet'!K38</f>
        <v>7769</v>
      </c>
      <c r="L12" s="12"/>
    </row>
    <row r="13" spans="1:12" ht="13.5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2"/>
    </row>
    <row r="14" spans="1:12" ht="13.5" customHeight="1" x14ac:dyDescent="0.35">
      <c r="A14" s="2" t="s">
        <v>110</v>
      </c>
      <c r="B14" s="4">
        <f t="array" ref="B14">IF(B4&gt;0,B6/B4,"")</f>
        <v>0.2316272446800095</v>
      </c>
      <c r="C14" s="4">
        <f t="array" ref="C14">IF(C4&gt;0,C6/C4,"")</f>
        <v>0.24003560981813557</v>
      </c>
      <c r="D14" s="4">
        <f t="array" ref="D14">IF(D4&gt;0,D6/D4,"")</f>
        <v>0.23932562338359439</v>
      </c>
      <c r="E14" s="4">
        <f t="array" ref="E14">IF(E4&gt;0,E6/E4,"")</f>
        <v>0.2421942342687482</v>
      </c>
      <c r="F14" s="4">
        <f t="array" ref="F14">IF(F4&gt;0,F6/F4,"")</f>
        <v>0.24127061698228466</v>
      </c>
      <c r="G14" s="4">
        <f t="array" ref="G14">IF(G4&gt;0,G6/G4,"")</f>
        <v>0.23517585562572435</v>
      </c>
      <c r="H14" s="4">
        <f t="array" ref="H14">IF(H4&gt;0,H6/H4,"")</f>
        <v>0.23679478534502135</v>
      </c>
      <c r="I14" s="4">
        <f t="array" ref="I14">IF(I4&gt;0,I6/I4,"")</f>
        <v>0.2338222036544339</v>
      </c>
      <c r="J14" s="4">
        <f t="array" ref="J14">IF(J4&gt;0,J6/J4,"")</f>
        <v>0.24065773027024698</v>
      </c>
      <c r="K14" s="4">
        <f t="array" ref="K14">IF(K4&gt;0,K6/K4,"")</f>
        <v>0.2366472381821576</v>
      </c>
      <c r="L14" s="12"/>
    </row>
    <row r="15" spans="1:12" ht="13.5" customHeight="1" x14ac:dyDescent="0.3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</row>
  </sheetData>
  <hyperlinks>
    <hyperlink ref="J1" r:id="rId1" xr:uid="{00000000-0004-0000-0200-000000000000}"/>
  </hyperlinks>
  <pageMargins left="0.7" right="0.7" top="0.75" bottom="0.75" header="0.511811023622047" footer="0.3"/>
  <pageSetup orientation="landscape" horizontalDpi="300" verticalDpi="300"/>
  <headerFooter>
    <oddFooter>&amp;C&amp;"Helvetica Neue,Regular"&amp;12 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24"/>
  <sheetViews>
    <sheetView showGridLines="0" zoomScaleNormal="100" workbookViewId="0">
      <selection activeCell="B16" sqref="B16"/>
    </sheetView>
  </sheetViews>
  <sheetFormatPr defaultColWidth="8.81640625" defaultRowHeight="14.5" x14ac:dyDescent="0.35"/>
  <cols>
    <col min="1" max="1" width="22.81640625" customWidth="1"/>
    <col min="2" max="2" width="13.453125" customWidth="1"/>
    <col min="3" max="11" width="15.54296875" customWidth="1"/>
  </cols>
  <sheetData>
    <row r="1" spans="1:11" ht="13.5" customHeight="1" x14ac:dyDescent="0.35">
      <c r="A1" s="24" t="str">
        <f t="array" ref="A1">'Profit &amp; Loss'!A1</f>
        <v>INFOSYS LTD</v>
      </c>
      <c r="B1" s="12"/>
      <c r="C1" s="12"/>
      <c r="D1" s="12"/>
      <c r="E1" s="12" t="str">
        <f t="array" ref="E1">'Data Sheet'!$E$1</f>
        <v/>
      </c>
      <c r="F1" s="12"/>
      <c r="G1" s="12"/>
      <c r="H1" s="12"/>
      <c r="I1" s="12"/>
      <c r="J1" s="20" t="s">
        <v>96</v>
      </c>
      <c r="K1" s="12"/>
    </row>
    <row r="2" spans="1:11" ht="13.5" customHeight="1" x14ac:dyDescent="0.35">
      <c r="A2" s="12"/>
      <c r="B2" s="12"/>
      <c r="C2" s="12"/>
      <c r="D2" s="12"/>
      <c r="E2" s="12"/>
      <c r="F2" s="12"/>
      <c r="G2" s="25"/>
      <c r="H2" s="25"/>
      <c r="I2" s="12"/>
      <c r="J2" s="12"/>
      <c r="K2" s="12"/>
    </row>
    <row r="3" spans="1:11" ht="13.5" customHeight="1" x14ac:dyDescent="0.35">
      <c r="A3" s="21" t="s">
        <v>97</v>
      </c>
      <c r="B3" s="22">
        <f t="array" ref="B3">'Data Sheet'!B42</f>
        <v>42825</v>
      </c>
      <c r="C3" s="22">
        <f t="array" ref="C3">'Data Sheet'!C42</f>
        <v>43190</v>
      </c>
      <c r="D3" s="22">
        <f t="array" ref="D3">'Data Sheet'!D42</f>
        <v>43555</v>
      </c>
      <c r="E3" s="22">
        <f t="array" ref="E3">'Data Sheet'!E42</f>
        <v>43921</v>
      </c>
      <c r="F3" s="22">
        <f t="array" ref="F3">'Data Sheet'!F42</f>
        <v>44286</v>
      </c>
      <c r="G3" s="22">
        <f t="array" ref="G3">'Data Sheet'!G42</f>
        <v>44651</v>
      </c>
      <c r="H3" s="22">
        <f t="array" ref="H3">'Data Sheet'!H42</f>
        <v>45016</v>
      </c>
      <c r="I3" s="22">
        <f t="array" ref="I3">'Data Sheet'!I42</f>
        <v>45382</v>
      </c>
      <c r="J3" s="22">
        <f t="array" ref="J3">'Data Sheet'!J42</f>
        <v>45747</v>
      </c>
      <c r="K3" s="22">
        <f t="array" ref="K3">'Data Sheet'!K42</f>
        <v>46112</v>
      </c>
    </row>
    <row r="4" spans="1:11" ht="13.5" customHeight="1" x14ac:dyDescent="0.35">
      <c r="A4" s="2" t="s">
        <v>120</v>
      </c>
      <c r="B4" s="8">
        <f t="array" ref="B4">'Data Sheet'!B43</f>
        <v>1144</v>
      </c>
      <c r="C4" s="8">
        <f t="array" ref="C4">'Data Sheet'!C43</f>
        <v>1088</v>
      </c>
      <c r="D4" s="8">
        <f t="array" ref="D4">'Data Sheet'!D43</f>
        <v>2170</v>
      </c>
      <c r="E4" s="8">
        <f t="array" ref="E4">'Data Sheet'!E43</f>
        <v>2122</v>
      </c>
      <c r="F4" s="8">
        <f t="array" ref="F4">'Data Sheet'!F43</f>
        <v>2124</v>
      </c>
      <c r="G4" s="8">
        <f t="array" ref="G4">'Data Sheet'!G43</f>
        <v>2098</v>
      </c>
      <c r="H4" s="8">
        <f t="array" ref="H4">'Data Sheet'!H43</f>
        <v>2069</v>
      </c>
      <c r="I4" s="8">
        <f t="array" ref="I4">'Data Sheet'!I43</f>
        <v>2071</v>
      </c>
      <c r="J4" s="8">
        <f t="array" ref="J4">'Data Sheet'!J43</f>
        <v>2073</v>
      </c>
      <c r="K4" s="8">
        <f t="array" ref="K4">'Data Sheet'!K43</f>
        <v>2024</v>
      </c>
    </row>
    <row r="5" spans="1:11" ht="13.5" customHeight="1" x14ac:dyDescent="0.35">
      <c r="A5" s="2" t="s">
        <v>121</v>
      </c>
      <c r="B5" s="8">
        <f t="array" ref="B5">'Data Sheet'!B44</f>
        <v>67838</v>
      </c>
      <c r="C5" s="8">
        <f t="array" ref="C5">'Data Sheet'!C44</f>
        <v>63835</v>
      </c>
      <c r="D5" s="8">
        <f t="array" ref="D5">'Data Sheet'!D44</f>
        <v>62778</v>
      </c>
      <c r="E5" s="8">
        <f t="array" ref="E5">'Data Sheet'!E44</f>
        <v>63328</v>
      </c>
      <c r="F5" s="8">
        <f t="array" ref="F5">'Data Sheet'!F44</f>
        <v>74227</v>
      </c>
      <c r="G5" s="8">
        <f t="array" ref="G5">'Data Sheet'!G44</f>
        <v>73252</v>
      </c>
      <c r="H5" s="8">
        <f t="array" ref="H5">'Data Sheet'!H44</f>
        <v>73338</v>
      </c>
      <c r="I5" s="8">
        <f t="array" ref="I5">'Data Sheet'!I44</f>
        <v>86045</v>
      </c>
      <c r="J5" s="8">
        <f t="array" ref="J5">'Data Sheet'!J44</f>
        <v>93745</v>
      </c>
      <c r="K5" s="8">
        <f t="array" ref="K5">'Data Sheet'!K44</f>
        <v>90828</v>
      </c>
    </row>
    <row r="6" spans="1:11" ht="13.5" customHeight="1" x14ac:dyDescent="0.35">
      <c r="A6" s="2" t="s">
        <v>22</v>
      </c>
      <c r="B6" s="8">
        <f>'Data Sheet'!B45</f>
        <v>0</v>
      </c>
      <c r="C6" s="8">
        <f>'Data Sheet'!C45</f>
        <v>0</v>
      </c>
      <c r="D6" s="8">
        <f>'Data Sheet'!D45</f>
        <v>0</v>
      </c>
      <c r="E6" s="8">
        <f t="array" ref="E6">'Data Sheet'!E45</f>
        <v>4633</v>
      </c>
      <c r="F6" s="8">
        <f t="array" ref="F6">'Data Sheet'!F45</f>
        <v>5325</v>
      </c>
      <c r="G6" s="8">
        <f t="array" ref="G6">'Data Sheet'!G45</f>
        <v>5474</v>
      </c>
      <c r="H6" s="8">
        <f t="array" ref="H6">'Data Sheet'!H45</f>
        <v>8299</v>
      </c>
      <c r="I6" s="8">
        <f t="array" ref="I6">'Data Sheet'!I45</f>
        <v>8359</v>
      </c>
      <c r="J6" s="8">
        <f t="array" ref="J6">'Data Sheet'!J45</f>
        <v>8227</v>
      </c>
      <c r="K6" s="8">
        <f t="array" ref="K6">'Data Sheet'!K45</f>
        <v>9176</v>
      </c>
    </row>
    <row r="7" spans="1:11" ht="13.5" customHeight="1" x14ac:dyDescent="0.35">
      <c r="A7" s="2" t="s">
        <v>122</v>
      </c>
      <c r="B7" s="8">
        <f t="array" ref="B7">'Data Sheet'!B46</f>
        <v>14166</v>
      </c>
      <c r="C7" s="8">
        <f t="array" ref="C7">'Data Sheet'!C46</f>
        <v>14426</v>
      </c>
      <c r="D7" s="8">
        <f t="array" ref="D7">'Data Sheet'!D46</f>
        <v>19118</v>
      </c>
      <c r="E7" s="8">
        <f t="array" ref="E7">'Data Sheet'!E46</f>
        <v>21717</v>
      </c>
      <c r="F7" s="8">
        <f t="array" ref="F7">'Data Sheet'!F46</f>
        <v>25835</v>
      </c>
      <c r="G7" s="8">
        <f t="array" ref="G7">'Data Sheet'!G46</f>
        <v>35905</v>
      </c>
      <c r="H7" s="8">
        <f t="array" ref="H7">'Data Sheet'!H46</f>
        <v>40890</v>
      </c>
      <c r="I7" s="8">
        <f t="array" ref="I7">'Data Sheet'!I46</f>
        <v>39545</v>
      </c>
      <c r="J7" s="8">
        <f t="array" ref="J7">'Data Sheet'!J46</f>
        <v>43750</v>
      </c>
      <c r="K7" s="8">
        <f t="array" ref="K7">'Data Sheet'!K46</f>
        <v>52260</v>
      </c>
    </row>
    <row r="8" spans="1:11" ht="13.5" customHeight="1" x14ac:dyDescent="0.35">
      <c r="A8" s="2" t="s">
        <v>123</v>
      </c>
      <c r="B8" s="9">
        <f t="array" ref="B8">'Data Sheet'!B47</f>
        <v>83148</v>
      </c>
      <c r="C8" s="9">
        <f t="array" ref="C8">'Data Sheet'!C47</f>
        <v>79349</v>
      </c>
      <c r="D8" s="9">
        <f t="array" ref="D8">'Data Sheet'!D47</f>
        <v>84066</v>
      </c>
      <c r="E8" s="9">
        <f t="array" ref="E8">'Data Sheet'!E47</f>
        <v>91800</v>
      </c>
      <c r="F8" s="9">
        <f t="array" ref="F8">'Data Sheet'!F47</f>
        <v>107511</v>
      </c>
      <c r="G8" s="9">
        <f t="array" ref="G8">'Data Sheet'!G47</f>
        <v>116729</v>
      </c>
      <c r="H8" s="9">
        <f t="array" ref="H8">'Data Sheet'!H47</f>
        <v>124596</v>
      </c>
      <c r="I8" s="9">
        <f t="array" ref="I8">'Data Sheet'!I47</f>
        <v>136020</v>
      </c>
      <c r="J8" s="9">
        <f t="array" ref="J8">'Data Sheet'!J47</f>
        <v>147795</v>
      </c>
      <c r="K8" s="9">
        <f t="array" ref="K8">'Data Sheet'!K47</f>
        <v>154288</v>
      </c>
    </row>
    <row r="9" spans="1:11" ht="13.5" customHeight="1" x14ac:dyDescent="0.35">
      <c r="A9" s="1"/>
      <c r="B9" s="9"/>
      <c r="C9" s="9"/>
      <c r="D9" s="9"/>
      <c r="E9" s="9"/>
      <c r="F9" s="9"/>
      <c r="G9" s="9"/>
      <c r="H9" s="9"/>
      <c r="I9" s="9"/>
      <c r="J9" s="9"/>
      <c r="K9" s="9"/>
    </row>
    <row r="10" spans="1:11" ht="13.5" customHeight="1" x14ac:dyDescent="0.35">
      <c r="A10" s="2" t="s">
        <v>124</v>
      </c>
      <c r="B10" s="8">
        <f t="array" ref="B10">'Data Sheet'!B48</f>
        <v>14179</v>
      </c>
      <c r="C10" s="8">
        <f t="array" ref="C10">'Data Sheet'!C48</f>
        <v>12574</v>
      </c>
      <c r="D10" s="8">
        <f t="array" ref="D10">'Data Sheet'!D48</f>
        <v>15710</v>
      </c>
      <c r="E10" s="8">
        <f t="array" ref="E10">'Data Sheet'!E48</f>
        <v>23789</v>
      </c>
      <c r="F10" s="8">
        <f t="array" ref="F10">'Data Sheet'!F48</f>
        <v>25505</v>
      </c>
      <c r="G10" s="8">
        <f t="array" ref="G10">'Data Sheet'!G48</f>
        <v>25800</v>
      </c>
      <c r="H10" s="8">
        <f t="array" ref="H10">'Data Sheet'!H48</f>
        <v>29225</v>
      </c>
      <c r="I10" s="8">
        <f t="array" ref="I10">'Data Sheet'!I48</f>
        <v>27622</v>
      </c>
      <c r="J10" s="8">
        <f t="array" ref="J10">'Data Sheet'!J48</f>
        <v>30961</v>
      </c>
      <c r="K10" s="8">
        <f t="array" ref="K10">'Data Sheet'!K48</f>
        <v>33770</v>
      </c>
    </row>
    <row r="11" spans="1:11" ht="13.5" customHeight="1" x14ac:dyDescent="0.35">
      <c r="A11" s="2" t="s">
        <v>125</v>
      </c>
      <c r="B11" s="8">
        <f t="array" ref="B11">'Data Sheet'!B49</f>
        <v>1365</v>
      </c>
      <c r="C11" s="8">
        <f t="array" ref="C11">'Data Sheet'!C49</f>
        <v>1606</v>
      </c>
      <c r="D11" s="8">
        <f t="array" ref="D11">'Data Sheet'!D49</f>
        <v>1388</v>
      </c>
      <c r="E11" s="8">
        <f t="array" ref="E11">'Data Sheet'!E49</f>
        <v>954</v>
      </c>
      <c r="F11" s="8">
        <f t="array" ref="F11">'Data Sheet'!F49</f>
        <v>922</v>
      </c>
      <c r="G11" s="8">
        <f t="array" ref="G11">'Data Sheet'!G49</f>
        <v>416</v>
      </c>
      <c r="H11" s="8">
        <f t="array" ref="H11">'Data Sheet'!H49</f>
        <v>288</v>
      </c>
      <c r="I11" s="8">
        <f t="array" ref="I11">'Data Sheet'!I49</f>
        <v>293</v>
      </c>
      <c r="J11" s="8">
        <f t="array" ref="J11">'Data Sheet'!J49</f>
        <v>814</v>
      </c>
      <c r="K11" s="8">
        <f t="array" ref="K11">'Data Sheet'!K49</f>
        <v>526</v>
      </c>
    </row>
    <row r="12" spans="1:11" ht="13.5" customHeight="1" x14ac:dyDescent="0.35">
      <c r="A12" s="2" t="s">
        <v>18</v>
      </c>
      <c r="B12" s="8">
        <f t="array" ref="B12">'Data Sheet'!B50</f>
        <v>16423</v>
      </c>
      <c r="C12" s="8">
        <f t="array" ref="C12">'Data Sheet'!C50</f>
        <v>12163</v>
      </c>
      <c r="D12" s="8">
        <f t="array" ref="D12">'Data Sheet'!D50</f>
        <v>11261</v>
      </c>
      <c r="E12" s="8">
        <f t="array" ref="E12">'Data Sheet'!E50</f>
        <v>8792</v>
      </c>
      <c r="F12" s="8">
        <f t="array" ref="F12">'Data Sheet'!F50</f>
        <v>14205</v>
      </c>
      <c r="G12" s="8">
        <f t="array" ref="G12">'Data Sheet'!G50</f>
        <v>20324</v>
      </c>
      <c r="H12" s="8">
        <f t="array" ref="H12">'Data Sheet'!H50</f>
        <v>19478</v>
      </c>
      <c r="I12" s="8">
        <f t="array" ref="I12">'Data Sheet'!I50</f>
        <v>24623</v>
      </c>
      <c r="J12" s="8">
        <f t="array" ref="J12">'Data Sheet'!J50</f>
        <v>23541</v>
      </c>
      <c r="K12" s="8">
        <f t="array" ref="K12">'Data Sheet'!K50</f>
        <v>21880</v>
      </c>
    </row>
    <row r="13" spans="1:11" ht="13.5" customHeight="1" x14ac:dyDescent="0.35">
      <c r="A13" s="2" t="s">
        <v>126</v>
      </c>
      <c r="B13" s="8">
        <f t="array" ref="B13">'Data Sheet'!B51</f>
        <v>51181</v>
      </c>
      <c r="C13" s="8">
        <f t="array" ref="C13">'Data Sheet'!C51</f>
        <v>53006</v>
      </c>
      <c r="D13" s="8">
        <f t="array" ref="D13">'Data Sheet'!D51</f>
        <v>55707</v>
      </c>
      <c r="E13" s="8">
        <f t="array" ref="E13">'Data Sheet'!E51</f>
        <v>58265</v>
      </c>
      <c r="F13" s="8">
        <f t="array" ref="F13">'Data Sheet'!F51</f>
        <v>66879</v>
      </c>
      <c r="G13" s="8">
        <f t="array" ref="G13">'Data Sheet'!G51</f>
        <v>70189</v>
      </c>
      <c r="H13" s="8">
        <f t="array" ref="H13">'Data Sheet'!H51</f>
        <v>75605</v>
      </c>
      <c r="I13" s="8">
        <f t="array" ref="I13">'Data Sheet'!I51</f>
        <v>83482</v>
      </c>
      <c r="J13" s="8">
        <f t="array" ref="J13">'Data Sheet'!J51</f>
        <v>92479</v>
      </c>
      <c r="K13" s="8">
        <f t="array" ref="K13">'Data Sheet'!K51</f>
        <v>98112</v>
      </c>
    </row>
    <row r="14" spans="1:11" ht="13.5" customHeight="1" x14ac:dyDescent="0.35">
      <c r="A14" s="2" t="s">
        <v>123</v>
      </c>
      <c r="B14" s="8">
        <f t="array" ref="B14">'Data Sheet'!B52</f>
        <v>83148</v>
      </c>
      <c r="C14" s="8">
        <f t="array" ref="C14">'Data Sheet'!C52</f>
        <v>79349</v>
      </c>
      <c r="D14" s="8">
        <f t="array" ref="D14">'Data Sheet'!D52</f>
        <v>84066</v>
      </c>
      <c r="E14" s="8">
        <f t="array" ref="E14">'Data Sheet'!E52</f>
        <v>91800</v>
      </c>
      <c r="F14" s="8">
        <f t="array" ref="F14">'Data Sheet'!F52</f>
        <v>107511</v>
      </c>
      <c r="G14" s="8">
        <f t="array" ref="G14">'Data Sheet'!G52</f>
        <v>116729</v>
      </c>
      <c r="H14" s="8">
        <f t="array" ref="H14">'Data Sheet'!H52</f>
        <v>124596</v>
      </c>
      <c r="I14" s="8">
        <f t="array" ref="I14">'Data Sheet'!I52</f>
        <v>136020</v>
      </c>
      <c r="J14" s="8">
        <f t="array" ref="J14">'Data Sheet'!J52</f>
        <v>147795</v>
      </c>
      <c r="K14" s="8">
        <f t="array" ref="K14">'Data Sheet'!K52</f>
        <v>154288</v>
      </c>
    </row>
    <row r="15" spans="1:11" ht="13.5" customHeight="1" x14ac:dyDescent="0.35">
      <c r="A15" s="1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3.5" customHeight="1" x14ac:dyDescent="0.35">
      <c r="A16" s="2" t="s">
        <v>127</v>
      </c>
      <c r="B16" s="3">
        <f t="array" ref="B16">B13-B7</f>
        <v>37015</v>
      </c>
      <c r="C16" s="3">
        <f t="array" ref="C16">C13-C7</f>
        <v>38580</v>
      </c>
      <c r="D16" s="3">
        <f t="array" ref="D16">D13-D7</f>
        <v>36589</v>
      </c>
      <c r="E16" s="3">
        <f t="array" ref="E16">E13-E7</f>
        <v>36548</v>
      </c>
      <c r="F16" s="3">
        <f t="array" ref="F16">F13-F7</f>
        <v>41044</v>
      </c>
      <c r="G16" s="3">
        <f t="array" ref="G16">G13-G7</f>
        <v>34284</v>
      </c>
      <c r="H16" s="3">
        <f t="array" ref="H16">H13-H7</f>
        <v>34715</v>
      </c>
      <c r="I16" s="3">
        <f t="array" ref="I16">I13-I7</f>
        <v>43937</v>
      </c>
      <c r="J16" s="3">
        <f t="array" ref="J16">J13-J7</f>
        <v>48729</v>
      </c>
      <c r="K16" s="3">
        <f t="array" ref="K16">K13-K7</f>
        <v>45852</v>
      </c>
    </row>
    <row r="17" spans="1:11" ht="13.5" customHeight="1" x14ac:dyDescent="0.35">
      <c r="A17" s="2" t="s">
        <v>128</v>
      </c>
      <c r="B17" s="3">
        <f t="array" ref="B17">'Data Sheet'!B53</f>
        <v>12322</v>
      </c>
      <c r="C17" s="3">
        <f t="array" ref="C17">'Data Sheet'!C53</f>
        <v>13142</v>
      </c>
      <c r="D17" s="3">
        <f t="array" ref="D17">'Data Sheet'!D53</f>
        <v>14827</v>
      </c>
      <c r="E17" s="3">
        <f t="array" ref="E17">'Data Sheet'!E53</f>
        <v>18487</v>
      </c>
      <c r="F17" s="3">
        <f t="array" ref="F17">'Data Sheet'!F53</f>
        <v>19294</v>
      </c>
      <c r="G17" s="3">
        <f t="array" ref="G17">'Data Sheet'!G53</f>
        <v>22698</v>
      </c>
      <c r="H17" s="3">
        <f t="array" ref="H17">'Data Sheet'!H53</f>
        <v>25424</v>
      </c>
      <c r="I17" s="3">
        <f t="array" ref="I17">'Data Sheet'!I53</f>
        <v>30193</v>
      </c>
      <c r="J17" s="3">
        <f t="array" ref="J17">'Data Sheet'!J53</f>
        <v>31158</v>
      </c>
      <c r="K17" s="3">
        <f t="array" ref="K17">'Data Sheet'!K53</f>
        <v>35234</v>
      </c>
    </row>
    <row r="18" spans="1:11" ht="13.5" customHeight="1" x14ac:dyDescent="0.35">
      <c r="A18" s="2" t="s">
        <v>129</v>
      </c>
      <c r="B18" s="3">
        <f>'Data Sheet'!B54</f>
        <v>0</v>
      </c>
      <c r="C18" s="3">
        <f>'Data Sheet'!C54</f>
        <v>0</v>
      </c>
      <c r="D18" s="3">
        <f>'Data Sheet'!D54</f>
        <v>0</v>
      </c>
      <c r="E18" s="3">
        <f>'Data Sheet'!E54</f>
        <v>0</v>
      </c>
      <c r="F18" s="3">
        <f>'Data Sheet'!F54</f>
        <v>0</v>
      </c>
      <c r="G18" s="3">
        <f>'Data Sheet'!G54</f>
        <v>0</v>
      </c>
      <c r="H18" s="3">
        <f>'Data Sheet'!H54</f>
        <v>0</v>
      </c>
      <c r="I18" s="3">
        <f>'Data Sheet'!I54</f>
        <v>0</v>
      </c>
      <c r="J18" s="3">
        <f>'Data Sheet'!J54</f>
        <v>0</v>
      </c>
      <c r="K18" s="3">
        <f>'Data Sheet'!K54</f>
        <v>0</v>
      </c>
    </row>
    <row r="19" spans="1:11" ht="13.5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13.5" customHeight="1" x14ac:dyDescent="0.35">
      <c r="A20" s="2" t="s">
        <v>130</v>
      </c>
      <c r="B20" s="3">
        <f t="array" ref="B20">IF('Profit &amp; Loss'!B4&gt;0,B17/('Profit &amp; Loss'!B4/365),0)</f>
        <v>65.672711874306415</v>
      </c>
      <c r="C20" s="3">
        <f t="array" ref="C20">IF('Profit &amp; Loss'!C4&gt;0,C17/('Profit &amp; Loss'!C4/365),0)</f>
        <v>68.018916082924477</v>
      </c>
      <c r="D20" s="3">
        <f t="array" ref="D20">IF('Profit &amp; Loss'!D4&gt;0,D17/('Profit &amp; Loss'!D4/365),0)</f>
        <v>65.459389174478375</v>
      </c>
      <c r="E20" s="3">
        <f t="array" ref="E20">IF('Profit &amp; Loss'!E4&gt;0,E17/('Profit &amp; Loss'!E4/365),0)</f>
        <v>74.321849081957467</v>
      </c>
      <c r="F20" s="3">
        <f t="array" ref="F20">IF('Profit &amp; Loss'!F4&gt;0,F17/('Profit &amp; Loss'!F4/365),0)</f>
        <v>70.092264511505689</v>
      </c>
      <c r="G20" s="3">
        <f t="array" ref="G20">IF('Profit &amp; Loss'!G4&gt;0,G17/('Profit &amp; Loss'!G4/365),0)</f>
        <v>68.108368066688044</v>
      </c>
      <c r="H20" s="3">
        <f t="array" ref="H20">IF('Profit &amp; Loss'!H4&gt;0,H17/('Profit &amp; Loss'!H4/365),0)</f>
        <v>63.227837320378562</v>
      </c>
      <c r="I20" s="3">
        <f t="array" ref="I20">IF('Profit &amp; Loss'!I4&gt;0,I17/('Profit &amp; Loss'!I4/365),0)</f>
        <v>71.715006182078469</v>
      </c>
      <c r="J20" s="3">
        <f t="array" ref="J20">IF('Profit &amp; Loss'!J4&gt;0,J17/('Profit &amp; Loss'!J4/365),0)</f>
        <v>69.775262286029815</v>
      </c>
      <c r="K20" s="3">
        <f t="array" ref="K20">IF('Profit &amp; Loss'!K4&gt;0,K17/('Profit &amp; Loss'!K4/365),0)</f>
        <v>71.986621886369988</v>
      </c>
    </row>
    <row r="21" spans="1:11" ht="13.5" customHeight="1" x14ac:dyDescent="0.35">
      <c r="A21" s="2" t="s">
        <v>131</v>
      </c>
      <c r="B21" s="3">
        <f t="array" ref="B21">IF(B18&gt;0,'Profit &amp; Loss'!B4/B18,0)</f>
        <v>0</v>
      </c>
      <c r="C21" s="3">
        <f t="array" ref="C21">IF(C18&gt;0,'Profit &amp; Loss'!C4/C18,0)</f>
        <v>0</v>
      </c>
      <c r="D21" s="3">
        <f t="array" ref="D21">IF(D18&gt;0,'Profit &amp; Loss'!D4/D18,0)</f>
        <v>0</v>
      </c>
      <c r="E21" s="3">
        <f t="array" ref="E21">IF(E18&gt;0,'Profit &amp; Loss'!E4/E18,0)</f>
        <v>0</v>
      </c>
      <c r="F21" s="3">
        <f t="array" ref="F21">IF(F18&gt;0,'Profit &amp; Loss'!F4/F18,0)</f>
        <v>0</v>
      </c>
      <c r="G21" s="3">
        <f t="array" ref="G21">IF(G18&gt;0,'Profit &amp; Loss'!G4/G18,0)</f>
        <v>0</v>
      </c>
      <c r="H21" s="3">
        <f t="array" ref="H21">IF(H18&gt;0,'Profit &amp; Loss'!H4/H18,0)</f>
        <v>0</v>
      </c>
      <c r="I21" s="3">
        <f t="array" ref="I21">IF(I18&gt;0,'Profit &amp; Loss'!I4/I18,0)</f>
        <v>0</v>
      </c>
      <c r="J21" s="3">
        <f t="array" ref="J21">IF(J18&gt;0,'Profit &amp; Loss'!J4/J18,0)</f>
        <v>0</v>
      </c>
      <c r="K21" s="3">
        <f t="array" ref="K21">IF(K18&gt;0,'Profit &amp; Loss'!K4/K18,0)</f>
        <v>0</v>
      </c>
    </row>
    <row r="22" spans="1:11" ht="13.5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13.5" customHeight="1" x14ac:dyDescent="0.35">
      <c r="A23" s="2" t="s">
        <v>132</v>
      </c>
      <c r="B23" s="4">
        <f t="array" ref="B23">IF(SUM(B4:B5)&gt;0,'Profit &amp; Loss'!B12/SUM(B4:B5),"")</f>
        <v>0.20806877156359629</v>
      </c>
      <c r="C23" s="4">
        <f t="array" ref="C23">IF(SUM(C4:C5)&gt;0,'Profit &amp; Loss'!C12/SUM(C4:C5),"")</f>
        <v>0.24689247262141306</v>
      </c>
      <c r="D23" s="4">
        <f t="array" ref="D23">IF(SUM(D4:D5)&gt;0,'Profit &amp; Loss'!D12/SUM(D4:D5),"")</f>
        <v>0.23717435486851018</v>
      </c>
      <c r="E23" s="4">
        <f t="array" ref="E23">IF(SUM(E4:E5)&gt;0,'Profit &amp; Loss'!E12/SUM(E4:E5),"")</f>
        <v>0.25353705118411002</v>
      </c>
      <c r="F23" s="4">
        <f t="array" ref="F23">IF(SUM(F4:F5)&gt;0,'Profit &amp; Loss'!F12/SUM(F4:F5),"")</f>
        <v>0.2534478919726002</v>
      </c>
      <c r="G23" s="4">
        <f t="array" ref="G23">IF(SUM(G4:G5)&gt;0,'Profit &amp; Loss'!G12/SUM(G4:G5),"")</f>
        <v>0.29343065693430659</v>
      </c>
      <c r="H23" s="4">
        <f t="array" ref="H23">IF(SUM(H4:H5)&gt;0,'Profit &amp; Loss'!H12/SUM(H4:H5),"")</f>
        <v>0.31953266938082669</v>
      </c>
      <c r="I23" s="4">
        <f t="array" ref="I23">IF(SUM(I4:I5)&gt;0,'Profit &amp; Loss'!I12/SUM(I4:I5),"")</f>
        <v>0.29770983703300197</v>
      </c>
      <c r="J23" s="4">
        <f t="array" ref="J23">IF(SUM(J4:J5)&gt;0,'Profit &amp; Loss'!J12/SUM(J4:J5),"")</f>
        <v>0.27878895405873633</v>
      </c>
      <c r="K23" s="4">
        <f t="array" ref="K23">IF(SUM(K4:K5)&gt;0,'Profit &amp; Loss'!K12/SUM(K4:K5),"")</f>
        <v>0.31706371429802266</v>
      </c>
    </row>
    <row r="24" spans="1:11" ht="13.5" customHeight="1" x14ac:dyDescent="0.35">
      <c r="A24" s="2" t="s">
        <v>133</v>
      </c>
      <c r="B24" s="4"/>
      <c r="C24" s="4">
        <f t="array" ref="C24">IF((B4+B5+B6+C4+C5+C6)&gt;0,('Profit &amp; Loss'!C10+'Profit &amp; Loss'!C9)*2/(B4+B5+B6+C4+C5+C6),"")</f>
        <v>0.30275195101004443</v>
      </c>
      <c r="D24" s="4">
        <f t="array" ref="D24">IF((C4+C5+C6+D4+D5+D6)&gt;0,('Profit &amp; Loss'!D10+'Profit &amp; Loss'!D9)*2/(C4+C5+C6+D4+D5+D6),"")</f>
        <v>0.3240292290041657</v>
      </c>
      <c r="E24" s="4">
        <f t="array" ref="E24">IF((D4+D5+D6+E4+E5+E6)&gt;0,('Profit &amp; Loss'!E10+'Profit &amp; Loss'!E9)*2/(D4+D5+D6+E4+E5+E6),"")</f>
        <v>0.32847272107886338</v>
      </c>
      <c r="F24" s="4">
        <f t="array" ref="F24">IF((E4+E5+E6+F4+F5+F6)&gt;0,('Profit &amp; Loss'!F10+'Profit &amp; Loss'!F9)*2/(E4+E5+E6+F4+F5+F6),"")</f>
        <v>0.3534946856529102</v>
      </c>
      <c r="G24" s="4">
        <f t="array" ref="G24">IF((F4+F5+F6+G4+G5+G6)&gt;0,('Profit &amp; Loss'!G10+'Profit &amp; Loss'!G9)*2/(F4+F5+F6+G4+G5+G6),"")</f>
        <v>0.37304615384615386</v>
      </c>
      <c r="H24" s="4">
        <f t="array" ref="H24">IF((G4+G5+G6+H4+H5+H6)&gt;0,('Profit &amp; Loss'!H10+'Profit &amp; Loss'!H9)*2/(G4+G5+G6+H4+H5+H6),"")</f>
        <v>0.40850908648878625</v>
      </c>
      <c r="I24" s="4">
        <f t="array" ref="I24">IF((H4+H5+H6+I4+I5+I6)&gt;0,('Profit &amp; Loss'!I10+'Profit &amp; Loss'!I9)*2/(H4+H5+H6+I4+I5+I6),"")</f>
        <v>0.40468195869708795</v>
      </c>
      <c r="J24" s="4">
        <f t="array" ref="J24">IF((I4+I5+I6+J4+J5+J6)&gt;0,('Profit &amp; Loss'!J10+'Profit &amp; Loss'!J9)*2/(I4+I5+I6+J4+J5+J6),"")</f>
        <v>0.37925393975663274</v>
      </c>
      <c r="K24" s="4">
        <f t="array" ref="K24">IF((J4+J5+J6+K4+K5+K6)&gt;0,('Profit &amp; Loss'!K10+'Profit &amp; Loss'!K9)*2/(J4+J5+J6+K4+K5+K6),"")</f>
        <v>0.39220082203879209</v>
      </c>
    </row>
  </sheetData>
  <hyperlinks>
    <hyperlink ref="J1" r:id="rId1" xr:uid="{00000000-0004-0000-0300-000000000000}"/>
  </hyperlinks>
  <pageMargins left="0.7" right="0.7" top="0.75" bottom="0.75" header="0.511811023622047" footer="0.3"/>
  <pageSetup orientation="landscape" horizontalDpi="300" verticalDpi="300"/>
  <headerFooter>
    <oddFooter>&amp;C&amp;"Helvetica Neue,Regular"&amp;12 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K10"/>
  <sheetViews>
    <sheetView showGridLines="0" zoomScaleNormal="100" workbookViewId="0">
      <selection activeCell="B10" sqref="B10"/>
    </sheetView>
  </sheetViews>
  <sheetFormatPr defaultColWidth="8.81640625" defaultRowHeight="14.5" x14ac:dyDescent="0.35"/>
  <cols>
    <col min="1" max="1" width="26.81640625" customWidth="1"/>
    <col min="2" max="11" width="13.453125" customWidth="1"/>
  </cols>
  <sheetData>
    <row r="1" spans="1:11" ht="13.5" customHeight="1" x14ac:dyDescent="0.35">
      <c r="A1" s="24" t="str">
        <f t="array" ref="A1">'Balance Sheet'!A1</f>
        <v>INFOSYS LTD</v>
      </c>
      <c r="B1" s="12"/>
      <c r="C1" s="12"/>
      <c r="D1" s="12"/>
      <c r="E1" s="12" t="str">
        <f t="array" ref="E1">'Data Sheet'!$E$1</f>
        <v/>
      </c>
      <c r="F1" s="12"/>
      <c r="G1" s="12"/>
      <c r="H1" s="12"/>
      <c r="I1" s="12"/>
      <c r="J1" s="20" t="s">
        <v>96</v>
      </c>
      <c r="K1" s="12"/>
    </row>
    <row r="2" spans="1:11" ht="13.5" customHeight="1" x14ac:dyDescent="0.3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1" ht="13.5" customHeight="1" x14ac:dyDescent="0.35">
      <c r="A3" s="21" t="s">
        <v>97</v>
      </c>
      <c r="B3" s="22">
        <f t="array" ref="B3">'Data Sheet'!B81</f>
        <v>42825</v>
      </c>
      <c r="C3" s="22">
        <f t="array" ref="C3">'Data Sheet'!C81</f>
        <v>43190</v>
      </c>
      <c r="D3" s="22">
        <f t="array" ref="D3">'Data Sheet'!D81</f>
        <v>43555</v>
      </c>
      <c r="E3" s="22">
        <f t="array" ref="E3">'Data Sheet'!E81</f>
        <v>43921</v>
      </c>
      <c r="F3" s="22">
        <f t="array" ref="F3">'Data Sheet'!F81</f>
        <v>44286</v>
      </c>
      <c r="G3" s="22">
        <f t="array" ref="G3">'Data Sheet'!G81</f>
        <v>44651</v>
      </c>
      <c r="H3" s="22">
        <f t="array" ref="H3">'Data Sheet'!H81</f>
        <v>45016</v>
      </c>
      <c r="I3" s="22">
        <f t="array" ref="I3">'Data Sheet'!I81</f>
        <v>45382</v>
      </c>
      <c r="J3" s="22">
        <f t="array" ref="J3">'Data Sheet'!J81</f>
        <v>45747</v>
      </c>
      <c r="K3" s="22">
        <f t="array" ref="K3">'Data Sheet'!K81</f>
        <v>46112</v>
      </c>
    </row>
    <row r="4" spans="1:11" ht="13.5" customHeight="1" x14ac:dyDescent="0.35">
      <c r="A4" s="2" t="s">
        <v>134</v>
      </c>
      <c r="B4" s="3">
        <f t="array" ref="B4">'Data Sheet'!B82</f>
        <v>11531</v>
      </c>
      <c r="C4" s="3">
        <f t="array" ref="C4">'Data Sheet'!C82</f>
        <v>13218</v>
      </c>
      <c r="D4" s="3">
        <f t="array" ref="D4">'Data Sheet'!D82</f>
        <v>14841</v>
      </c>
      <c r="E4" s="3">
        <f t="array" ref="E4">'Data Sheet'!E82</f>
        <v>17003</v>
      </c>
      <c r="F4" s="3">
        <f t="array" ref="F4">'Data Sheet'!F82</f>
        <v>23224</v>
      </c>
      <c r="G4" s="3">
        <f t="array" ref="G4">'Data Sheet'!G82</f>
        <v>23885</v>
      </c>
      <c r="H4" s="3">
        <f t="array" ref="H4">'Data Sheet'!H82</f>
        <v>22467</v>
      </c>
      <c r="I4" s="3">
        <f t="array" ref="I4">'Data Sheet'!I82</f>
        <v>25210</v>
      </c>
      <c r="J4" s="3">
        <f t="array" ref="J4">'Data Sheet'!J82</f>
        <v>35694</v>
      </c>
      <c r="K4" s="3">
        <f t="array" ref="K4">'Data Sheet'!K82</f>
        <v>33986</v>
      </c>
    </row>
    <row r="5" spans="1:11" ht="13.5" customHeight="1" x14ac:dyDescent="0.35">
      <c r="A5" s="2" t="s">
        <v>135</v>
      </c>
      <c r="B5" s="3">
        <f t="array" ref="B5">'Data Sheet'!B83</f>
        <v>-14664</v>
      </c>
      <c r="C5" s="3">
        <f t="array" ref="C5">'Data Sheet'!C83</f>
        <v>4533</v>
      </c>
      <c r="D5" s="3">
        <f t="array" ref="D5">'Data Sheet'!D83</f>
        <v>-632</v>
      </c>
      <c r="E5" s="3">
        <f t="array" ref="E5">'Data Sheet'!E83</f>
        <v>-331</v>
      </c>
      <c r="F5" s="3">
        <f t="array" ref="F5">'Data Sheet'!F83</f>
        <v>-7373</v>
      </c>
      <c r="G5" s="3">
        <f t="array" ref="G5">'Data Sheet'!G83</f>
        <v>-6485</v>
      </c>
      <c r="H5" s="3">
        <f t="array" ref="H5">'Data Sheet'!H83</f>
        <v>-1071</v>
      </c>
      <c r="I5" s="3">
        <f t="array" ref="I5">'Data Sheet'!I83</f>
        <v>-5093</v>
      </c>
      <c r="J5" s="3">
        <f t="array" ref="J5">'Data Sheet'!J83</f>
        <v>-1864</v>
      </c>
      <c r="K5" s="3">
        <f t="array" ref="K5">'Data Sheet'!K83</f>
        <v>3546</v>
      </c>
    </row>
    <row r="6" spans="1:11" ht="13.5" customHeight="1" x14ac:dyDescent="0.35">
      <c r="A6" s="2" t="s">
        <v>136</v>
      </c>
      <c r="B6" s="3">
        <f t="array" ref="B6">'Data Sheet'!B84</f>
        <v>-6939</v>
      </c>
      <c r="C6" s="3">
        <f t="array" ref="C6">'Data Sheet'!C84</f>
        <v>-20505</v>
      </c>
      <c r="D6" s="3">
        <f t="array" ref="D6">'Data Sheet'!D84</f>
        <v>-14512</v>
      </c>
      <c r="E6" s="3">
        <f t="array" ref="E6">'Data Sheet'!E84</f>
        <v>-17591</v>
      </c>
      <c r="F6" s="3">
        <f t="array" ref="F6">'Data Sheet'!F84</f>
        <v>-9786</v>
      </c>
      <c r="G6" s="3">
        <f t="array" ref="G6">'Data Sheet'!G84</f>
        <v>-24642</v>
      </c>
      <c r="H6" s="3">
        <f t="array" ref="H6">'Data Sheet'!H84</f>
        <v>-26695</v>
      </c>
      <c r="I6" s="3">
        <f t="array" ref="I6">'Data Sheet'!I84</f>
        <v>-17504</v>
      </c>
      <c r="J6" s="3">
        <f t="array" ref="J6">'Data Sheet'!J84</f>
        <v>-24161</v>
      </c>
      <c r="K6" s="3">
        <f t="array" ref="K6">'Data Sheet'!K84</f>
        <v>-39786</v>
      </c>
    </row>
    <row r="7" spans="1:11" ht="13.5" customHeight="1" x14ac:dyDescent="0.35">
      <c r="A7" s="2" t="s">
        <v>137</v>
      </c>
      <c r="B7" s="3">
        <f t="array" ref="B7">'Data Sheet'!B85</f>
        <v>-10072</v>
      </c>
      <c r="C7" s="3">
        <f t="array" ref="C7">'Data Sheet'!C85</f>
        <v>-2754</v>
      </c>
      <c r="D7" s="3">
        <f t="array" ref="D7">'Data Sheet'!D85</f>
        <v>-303</v>
      </c>
      <c r="E7" s="3">
        <f t="array" ref="E7">'Data Sheet'!E85</f>
        <v>-919</v>
      </c>
      <c r="F7" s="3">
        <f t="array" ref="F7">'Data Sheet'!F85</f>
        <v>6065</v>
      </c>
      <c r="G7" s="3">
        <f t="array" ref="G7">'Data Sheet'!G85</f>
        <v>-7242</v>
      </c>
      <c r="H7" s="3">
        <f t="array" ref="H7">'Data Sheet'!H85</f>
        <v>-5299</v>
      </c>
      <c r="I7" s="3">
        <f t="array" ref="I7">'Data Sheet'!I85</f>
        <v>2613</v>
      </c>
      <c r="J7" s="3">
        <f t="array" ref="J7">'Data Sheet'!J85</f>
        <v>9669</v>
      </c>
      <c r="K7" s="3">
        <f t="array" ref="K7">'Data Sheet'!K85</f>
        <v>-2254</v>
      </c>
    </row>
    <row r="8" spans="1:11" ht="13.5" customHeight="1" x14ac:dyDescent="0.35">
      <c r="A8" s="12"/>
      <c r="B8" s="14"/>
      <c r="C8" s="14"/>
      <c r="D8" s="14"/>
      <c r="E8" s="14"/>
      <c r="F8" s="14"/>
      <c r="G8" s="14"/>
      <c r="H8" s="14"/>
      <c r="I8" s="14"/>
      <c r="J8" s="14"/>
      <c r="K8" s="14"/>
    </row>
    <row r="9" spans="1:11" ht="13.5" customHeight="1" x14ac:dyDescent="0.3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</row>
    <row r="10" spans="1:11" ht="13.5" customHeight="1" x14ac:dyDescent="0.3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</row>
  </sheetData>
  <hyperlinks>
    <hyperlink ref="J1" r:id="rId1" xr:uid="{00000000-0004-0000-0400-000000000000}"/>
  </hyperlinks>
  <pageMargins left="0.7" right="0.7" top="0.75" bottom="0.75" header="0.511811023622047" footer="0.3"/>
  <pageSetup orientation="landscape" horizontalDpi="300" verticalDpi="300"/>
  <headerFooter>
    <oddFooter>&amp;C&amp;"Helvetica Neue,Regular"&amp;12 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93"/>
  <sheetViews>
    <sheetView showGridLines="0" zoomScale="60" zoomScaleNormal="100" workbookViewId="0">
      <selection activeCell="F22" sqref="F22"/>
    </sheetView>
  </sheetViews>
  <sheetFormatPr defaultColWidth="8.81640625" defaultRowHeight="14.5" x14ac:dyDescent="0.35"/>
  <cols>
    <col min="1" max="1" width="27.6328125" customWidth="1"/>
    <col min="2" max="11" width="13.453125" customWidth="1"/>
  </cols>
  <sheetData>
    <row r="1" spans="1:11" ht="15" customHeight="1" x14ac:dyDescent="0.35">
      <c r="A1" s="17" t="s">
        <v>138</v>
      </c>
      <c r="B1" s="2" t="s">
        <v>139</v>
      </c>
      <c r="C1" s="12"/>
      <c r="D1" s="12"/>
      <c r="E1" s="78" t="str">
        <f t="array" ref="E1">IF(B2&lt;&gt;B3,"A NEW VERSION OF THE WORKSHEET IS AVAILABLE","")</f>
        <v/>
      </c>
      <c r="F1" s="78"/>
      <c r="G1" s="78"/>
      <c r="H1" s="78"/>
      <c r="I1" s="78"/>
      <c r="J1" s="78"/>
      <c r="K1" s="78"/>
    </row>
    <row r="2" spans="1:11" ht="15" customHeight="1" x14ac:dyDescent="0.35">
      <c r="A2" s="10" t="s">
        <v>140</v>
      </c>
      <c r="B2" s="3">
        <v>2.1</v>
      </c>
      <c r="C2" s="12"/>
      <c r="D2" s="12"/>
    </row>
    <row r="3" spans="1:11" ht="15" customHeight="1" x14ac:dyDescent="0.35">
      <c r="A3" s="10" t="s">
        <v>141</v>
      </c>
      <c r="B3" s="3">
        <v>2.1</v>
      </c>
      <c r="C3" s="12"/>
      <c r="D3" s="12"/>
      <c r="E3" s="12"/>
      <c r="F3" s="12"/>
      <c r="G3" s="12"/>
      <c r="H3" s="12"/>
      <c r="I3" s="12"/>
      <c r="J3" s="12"/>
      <c r="K3" s="12"/>
    </row>
    <row r="4" spans="1:11" ht="15" customHeight="1" x14ac:dyDescent="0.35">
      <c r="A4" s="15"/>
      <c r="B4" s="12"/>
      <c r="C4" s="12"/>
      <c r="D4" s="12"/>
      <c r="E4" s="12"/>
      <c r="F4" s="12"/>
      <c r="G4" s="12"/>
      <c r="H4" s="12"/>
      <c r="I4" s="12"/>
      <c r="J4" s="12"/>
      <c r="K4" s="12"/>
    </row>
    <row r="5" spans="1:11" ht="15" customHeight="1" x14ac:dyDescent="0.35">
      <c r="A5" s="18" t="s">
        <v>142</v>
      </c>
      <c r="B5" s="12"/>
      <c r="C5" s="12"/>
      <c r="D5" s="12"/>
      <c r="E5" s="12"/>
      <c r="F5" s="12"/>
      <c r="G5" s="12"/>
      <c r="H5" s="12"/>
      <c r="I5" s="12"/>
      <c r="J5" s="12"/>
      <c r="K5" s="12"/>
    </row>
    <row r="6" spans="1:11" ht="15" customHeight="1" x14ac:dyDescent="0.35">
      <c r="A6" s="2" t="s">
        <v>143</v>
      </c>
      <c r="B6" s="3">
        <f t="array" ref="B6">IF(B9&gt;0,B9/B8,0)</f>
        <v>405.82766183574881</v>
      </c>
      <c r="C6" s="12"/>
      <c r="D6" s="12"/>
      <c r="E6" s="12"/>
      <c r="F6" s="12"/>
      <c r="G6" s="12"/>
      <c r="H6" s="12"/>
      <c r="I6" s="12"/>
      <c r="J6" s="12"/>
      <c r="K6" s="12"/>
    </row>
    <row r="7" spans="1:11" ht="15" customHeight="1" x14ac:dyDescent="0.35">
      <c r="A7" s="2" t="s">
        <v>144</v>
      </c>
      <c r="B7" s="1">
        <v>5</v>
      </c>
      <c r="C7" s="12"/>
      <c r="D7" s="12"/>
      <c r="E7" s="12"/>
      <c r="F7" s="12"/>
      <c r="G7" s="12"/>
      <c r="H7" s="12"/>
      <c r="I7" s="12"/>
      <c r="J7" s="12"/>
      <c r="K7" s="12"/>
    </row>
    <row r="8" spans="1:11" ht="15" customHeight="1" x14ac:dyDescent="0.35">
      <c r="A8" s="2" t="s">
        <v>145</v>
      </c>
      <c r="B8" s="1">
        <v>1035</v>
      </c>
      <c r="C8" s="12"/>
      <c r="D8" s="12"/>
      <c r="E8" s="12"/>
      <c r="F8" s="12"/>
      <c r="G8" s="12"/>
      <c r="H8" s="12"/>
      <c r="I8" s="12"/>
      <c r="J8" s="12"/>
      <c r="K8" s="12"/>
    </row>
    <row r="9" spans="1:11" ht="15" customHeight="1" x14ac:dyDescent="0.35">
      <c r="A9" s="2" t="s">
        <v>146</v>
      </c>
      <c r="B9" s="1">
        <v>420031.63</v>
      </c>
      <c r="C9" s="12"/>
      <c r="D9" s="12"/>
      <c r="E9" s="12"/>
      <c r="F9" s="12"/>
      <c r="G9" s="12"/>
      <c r="H9" s="12"/>
      <c r="I9" s="12"/>
      <c r="J9" s="12"/>
      <c r="K9" s="12"/>
    </row>
    <row r="10" spans="1:11" ht="15" customHeight="1" x14ac:dyDescent="0.3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</row>
    <row r="11" spans="1:11" ht="15" customHeight="1" x14ac:dyDescent="0.35">
      <c r="A11" s="18" t="s">
        <v>147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</row>
    <row r="12" spans="1:11" ht="15" customHeight="1" x14ac:dyDescent="0.35">
      <c r="A12" s="21" t="s">
        <v>148</v>
      </c>
      <c r="B12" s="22">
        <v>42825</v>
      </c>
      <c r="C12" s="22">
        <v>43190</v>
      </c>
      <c r="D12" s="22">
        <v>43555</v>
      </c>
      <c r="E12" s="22">
        <v>43921</v>
      </c>
      <c r="F12" s="22">
        <v>44286</v>
      </c>
      <c r="G12" s="22">
        <v>44651</v>
      </c>
      <c r="H12" s="22">
        <v>45016</v>
      </c>
      <c r="I12" s="22">
        <v>45382</v>
      </c>
      <c r="J12" s="22">
        <v>45747</v>
      </c>
      <c r="K12" s="22">
        <v>46112</v>
      </c>
    </row>
    <row r="13" spans="1:11" ht="15" customHeight="1" x14ac:dyDescent="0.35">
      <c r="A13" s="2" t="s">
        <v>7</v>
      </c>
      <c r="B13" s="1">
        <v>68484</v>
      </c>
      <c r="C13" s="1">
        <v>70522</v>
      </c>
      <c r="D13" s="1">
        <v>82675</v>
      </c>
      <c r="E13" s="1">
        <v>90791</v>
      </c>
      <c r="F13" s="1">
        <v>100472</v>
      </c>
      <c r="G13" s="1">
        <v>121641</v>
      </c>
      <c r="H13" s="1">
        <v>146767</v>
      </c>
      <c r="I13" s="1">
        <v>153670</v>
      </c>
      <c r="J13" s="1">
        <v>162990</v>
      </c>
      <c r="K13" s="1">
        <v>178650</v>
      </c>
    </row>
    <row r="14" spans="1:11" ht="15" customHeight="1" x14ac:dyDescent="0.35">
      <c r="A14" s="2" t="s">
        <v>149</v>
      </c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15" customHeight="1" x14ac:dyDescent="0.35">
      <c r="A15" s="2" t="s">
        <v>150</v>
      </c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15" customHeight="1" x14ac:dyDescent="0.35">
      <c r="A16" s="2" t="s">
        <v>151</v>
      </c>
      <c r="B16" s="1">
        <v>228</v>
      </c>
      <c r="C16" s="1">
        <v>207</v>
      </c>
      <c r="D16" s="1">
        <v>221</v>
      </c>
      <c r="E16" s="1">
        <v>229</v>
      </c>
      <c r="F16" s="1">
        <v>143</v>
      </c>
      <c r="G16" s="1">
        <v>132</v>
      </c>
      <c r="H16" s="1">
        <v>176</v>
      </c>
      <c r="I16" s="1">
        <v>199</v>
      </c>
      <c r="J16" s="1">
        <v>222</v>
      </c>
      <c r="K16" s="1">
        <v>223</v>
      </c>
    </row>
    <row r="17" spans="1:11" ht="15" customHeight="1" x14ac:dyDescent="0.35">
      <c r="A17" s="2" t="s">
        <v>152</v>
      </c>
      <c r="B17" s="1">
        <v>6712</v>
      </c>
      <c r="C17" s="1">
        <v>7286</v>
      </c>
      <c r="D17" s="1">
        <v>9902</v>
      </c>
      <c r="E17" s="1">
        <v>11086</v>
      </c>
      <c r="F17" s="1">
        <v>12800</v>
      </c>
      <c r="G17" s="1">
        <v>20690</v>
      </c>
      <c r="H17" s="1">
        <v>26330</v>
      </c>
      <c r="I17" s="1">
        <v>27195</v>
      </c>
      <c r="J17" s="1">
        <v>30395</v>
      </c>
      <c r="K17" s="1">
        <v>32922</v>
      </c>
    </row>
    <row r="18" spans="1:11" ht="15" customHeight="1" x14ac:dyDescent="0.35">
      <c r="A18" s="2" t="s">
        <v>153</v>
      </c>
      <c r="B18" s="1">
        <v>37669</v>
      </c>
      <c r="C18" s="1">
        <v>38902</v>
      </c>
      <c r="D18" s="1">
        <v>45323</v>
      </c>
      <c r="E18" s="1">
        <v>50895</v>
      </c>
      <c r="F18" s="1">
        <v>55547</v>
      </c>
      <c r="G18" s="1">
        <v>63997</v>
      </c>
      <c r="H18" s="1">
        <v>78374</v>
      </c>
      <c r="I18" s="1">
        <v>82636</v>
      </c>
      <c r="J18" s="1">
        <v>85968</v>
      </c>
      <c r="K18" s="1">
        <v>95112</v>
      </c>
    </row>
    <row r="19" spans="1:11" ht="15" customHeight="1" x14ac:dyDescent="0.35">
      <c r="A19" s="2" t="s">
        <v>154</v>
      </c>
      <c r="B19" s="1">
        <v>4584</v>
      </c>
      <c r="C19" s="1">
        <v>4585</v>
      </c>
      <c r="D19" s="1">
        <v>5553</v>
      </c>
      <c r="E19" s="1">
        <v>5375</v>
      </c>
      <c r="F19" s="1">
        <v>3194</v>
      </c>
      <c r="G19" s="1">
        <v>4305</v>
      </c>
      <c r="H19" s="1">
        <v>5300</v>
      </c>
      <c r="I19" s="1">
        <v>5705</v>
      </c>
      <c r="J19" s="1">
        <v>6039</v>
      </c>
      <c r="K19" s="1">
        <v>6784</v>
      </c>
    </row>
    <row r="20" spans="1:11" ht="15" customHeight="1" x14ac:dyDescent="0.35">
      <c r="A20" s="2" t="s">
        <v>155</v>
      </c>
      <c r="B20" s="1">
        <v>687</v>
      </c>
      <c r="C20" s="1">
        <v>720</v>
      </c>
      <c r="D20" s="1">
        <v>1506</v>
      </c>
      <c r="E20" s="1">
        <v>939</v>
      </c>
      <c r="F20" s="1">
        <v>899</v>
      </c>
      <c r="G20" s="1">
        <v>1026</v>
      </c>
      <c r="H20" s="1">
        <v>1457</v>
      </c>
      <c r="I20" s="1">
        <v>1510</v>
      </c>
      <c r="J20" s="1">
        <v>1130</v>
      </c>
      <c r="K20" s="1">
        <v>1329</v>
      </c>
    </row>
    <row r="21" spans="1:11" ht="15" customHeight="1" x14ac:dyDescent="0.35">
      <c r="A21" s="2" t="s">
        <v>103</v>
      </c>
      <c r="B21" s="1">
        <v>3050</v>
      </c>
      <c r="C21" s="1">
        <v>3311</v>
      </c>
      <c r="D21" s="1">
        <v>2882</v>
      </c>
      <c r="E21" s="1">
        <v>2803</v>
      </c>
      <c r="F21" s="1">
        <v>2201</v>
      </c>
      <c r="G21" s="1">
        <v>2295</v>
      </c>
      <c r="H21" s="1">
        <v>2701</v>
      </c>
      <c r="I21" s="1">
        <v>4711</v>
      </c>
      <c r="J21" s="1">
        <v>3600</v>
      </c>
      <c r="K21" s="1">
        <v>3033</v>
      </c>
    </row>
    <row r="22" spans="1:11" ht="15" customHeight="1" x14ac:dyDescent="0.35">
      <c r="A22" s="2" t="s">
        <v>104</v>
      </c>
      <c r="B22" s="1">
        <v>1703</v>
      </c>
      <c r="C22" s="1">
        <v>1863</v>
      </c>
      <c r="D22" s="1">
        <v>2011</v>
      </c>
      <c r="E22" s="1">
        <v>2893</v>
      </c>
      <c r="F22" s="1">
        <v>3267</v>
      </c>
      <c r="G22" s="1">
        <v>3476</v>
      </c>
      <c r="H22" s="1">
        <v>4225</v>
      </c>
      <c r="I22" s="1">
        <v>4678</v>
      </c>
      <c r="J22" s="1">
        <v>4812</v>
      </c>
      <c r="K22" s="1">
        <v>4902</v>
      </c>
    </row>
    <row r="23" spans="1:11" ht="15" customHeight="1" x14ac:dyDescent="0.35">
      <c r="A23" s="2" t="s">
        <v>12</v>
      </c>
      <c r="B23" s="1"/>
      <c r="C23" s="1"/>
      <c r="D23" s="1"/>
      <c r="E23" s="1">
        <v>170</v>
      </c>
      <c r="F23" s="1">
        <v>195</v>
      </c>
      <c r="G23" s="1">
        <v>200</v>
      </c>
      <c r="H23" s="1">
        <v>284</v>
      </c>
      <c r="I23" s="1">
        <v>470</v>
      </c>
      <c r="J23" s="1">
        <v>416</v>
      </c>
      <c r="K23" s="1">
        <v>416</v>
      </c>
    </row>
    <row r="24" spans="1:11" ht="15" customHeight="1" x14ac:dyDescent="0.35">
      <c r="A24" s="2" t="s">
        <v>13</v>
      </c>
      <c r="B24" s="1">
        <v>19951</v>
      </c>
      <c r="C24" s="1">
        <v>20270</v>
      </c>
      <c r="D24" s="1">
        <v>21041</v>
      </c>
      <c r="E24" s="1">
        <v>22007</v>
      </c>
      <c r="F24" s="1">
        <v>26628</v>
      </c>
      <c r="G24" s="1">
        <v>30110</v>
      </c>
      <c r="H24" s="1">
        <v>33322</v>
      </c>
      <c r="I24" s="1">
        <v>35988</v>
      </c>
      <c r="J24" s="1">
        <v>37608</v>
      </c>
      <c r="K24" s="1">
        <v>39995</v>
      </c>
    </row>
    <row r="25" spans="1:11" ht="15" customHeight="1" x14ac:dyDescent="0.35">
      <c r="A25" s="2" t="s">
        <v>14</v>
      </c>
      <c r="B25" s="1">
        <v>5598</v>
      </c>
      <c r="C25" s="1">
        <v>4241</v>
      </c>
      <c r="D25" s="1">
        <v>5631</v>
      </c>
      <c r="E25" s="1">
        <v>5368</v>
      </c>
      <c r="F25" s="1">
        <v>7205</v>
      </c>
      <c r="G25" s="1">
        <v>7964</v>
      </c>
      <c r="H25" s="1">
        <v>9214</v>
      </c>
      <c r="I25" s="1">
        <v>9740</v>
      </c>
      <c r="J25" s="1">
        <v>10858</v>
      </c>
      <c r="K25" s="1">
        <v>10521</v>
      </c>
    </row>
    <row r="26" spans="1:11" ht="15" customHeight="1" x14ac:dyDescent="0.35">
      <c r="A26" s="2" t="s">
        <v>15</v>
      </c>
      <c r="B26" s="1">
        <v>14353</v>
      </c>
      <c r="C26" s="1">
        <v>16029</v>
      </c>
      <c r="D26" s="1">
        <v>15404</v>
      </c>
      <c r="E26" s="1">
        <v>16594</v>
      </c>
      <c r="F26" s="1">
        <v>19351</v>
      </c>
      <c r="G26" s="1">
        <v>22110</v>
      </c>
      <c r="H26" s="1">
        <v>24095</v>
      </c>
      <c r="I26" s="1">
        <v>26233</v>
      </c>
      <c r="J26" s="1">
        <v>26713</v>
      </c>
      <c r="K26" s="1">
        <v>29440</v>
      </c>
    </row>
    <row r="27" spans="1:11" ht="15" customHeight="1" x14ac:dyDescent="0.35">
      <c r="A27" s="2" t="s">
        <v>156</v>
      </c>
      <c r="B27" s="1">
        <v>5891.6</v>
      </c>
      <c r="C27" s="1">
        <v>9465.6</v>
      </c>
      <c r="D27" s="1">
        <v>9222.5</v>
      </c>
      <c r="E27" s="1">
        <v>7427</v>
      </c>
      <c r="F27" s="1">
        <v>11469.6</v>
      </c>
      <c r="G27" s="1">
        <v>13007.6</v>
      </c>
      <c r="H27" s="1">
        <v>14069.2</v>
      </c>
      <c r="I27" s="1">
        <v>19053.2</v>
      </c>
      <c r="J27" s="1">
        <v>17827.8</v>
      </c>
      <c r="K27" s="1">
        <v>19430.400000000001</v>
      </c>
    </row>
    <row r="28" spans="1:11" ht="15" customHeight="1" x14ac:dyDescent="0.35"/>
    <row r="29" spans="1:11" ht="15" customHeight="1" x14ac:dyDescent="0.35">
      <c r="A29" s="19" t="s">
        <v>166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</row>
    <row r="30" spans="1:11" ht="15" customHeight="1" x14ac:dyDescent="0.35">
      <c r="A30" s="21" t="s">
        <v>148</v>
      </c>
      <c r="B30" s="22">
        <v>45382</v>
      </c>
      <c r="C30" s="22">
        <v>45473</v>
      </c>
      <c r="D30" s="22">
        <v>45565</v>
      </c>
      <c r="E30" s="22">
        <v>45657</v>
      </c>
      <c r="F30" s="22">
        <v>45747</v>
      </c>
      <c r="G30" s="22">
        <v>45838</v>
      </c>
      <c r="H30" s="22">
        <v>45930</v>
      </c>
      <c r="I30" s="22">
        <v>46022</v>
      </c>
      <c r="J30" s="22">
        <v>46112</v>
      </c>
      <c r="K30" s="22">
        <v>46203</v>
      </c>
    </row>
    <row r="31" spans="1:11" ht="15" customHeight="1" x14ac:dyDescent="0.35">
      <c r="A31" s="2" t="s">
        <v>7</v>
      </c>
      <c r="B31" s="1">
        <v>37923</v>
      </c>
      <c r="C31" s="1">
        <v>39315</v>
      </c>
      <c r="D31" s="1">
        <v>40986</v>
      </c>
      <c r="E31" s="1">
        <v>41764</v>
      </c>
      <c r="F31" s="1">
        <v>40925</v>
      </c>
      <c r="G31" s="1">
        <v>42279</v>
      </c>
      <c r="H31" s="1">
        <v>44490</v>
      </c>
      <c r="I31" s="1">
        <v>45479</v>
      </c>
      <c r="J31" s="1">
        <v>46402</v>
      </c>
      <c r="K31" s="1">
        <v>48211</v>
      </c>
    </row>
    <row r="32" spans="1:11" ht="15" customHeight="1" x14ac:dyDescent="0.35">
      <c r="A32" s="2" t="s">
        <v>101</v>
      </c>
      <c r="B32" s="1">
        <v>29139</v>
      </c>
      <c r="C32" s="1">
        <v>29878</v>
      </c>
      <c r="D32" s="1">
        <v>31177</v>
      </c>
      <c r="E32" s="1">
        <v>31649</v>
      </c>
      <c r="F32" s="1">
        <v>31051</v>
      </c>
      <c r="G32" s="1">
        <v>32336</v>
      </c>
      <c r="H32" s="1">
        <v>33955</v>
      </c>
      <c r="I32" s="1">
        <v>34845</v>
      </c>
      <c r="J32" s="1">
        <v>35235</v>
      </c>
      <c r="K32" s="1">
        <v>36802</v>
      </c>
    </row>
    <row r="33" spans="1:11" ht="15" customHeight="1" x14ac:dyDescent="0.35">
      <c r="A33" s="2" t="s">
        <v>103</v>
      </c>
      <c r="B33" s="1">
        <v>2729</v>
      </c>
      <c r="C33" s="1">
        <v>838</v>
      </c>
      <c r="D33" s="1">
        <v>712</v>
      </c>
      <c r="E33" s="1">
        <v>859</v>
      </c>
      <c r="F33" s="1">
        <v>1190</v>
      </c>
      <c r="G33" s="1">
        <v>1042</v>
      </c>
      <c r="H33" s="1">
        <v>982</v>
      </c>
      <c r="I33" s="1">
        <v>-150</v>
      </c>
      <c r="J33" s="1">
        <v>1159</v>
      </c>
      <c r="K33" s="1">
        <v>984</v>
      </c>
    </row>
    <row r="34" spans="1:11" ht="15" customHeight="1" x14ac:dyDescent="0.35">
      <c r="A34" s="2" t="s">
        <v>104</v>
      </c>
      <c r="B34" s="1">
        <v>1163</v>
      </c>
      <c r="C34" s="1">
        <v>1149</v>
      </c>
      <c r="D34" s="1">
        <v>1160</v>
      </c>
      <c r="E34" s="1">
        <v>1203</v>
      </c>
      <c r="F34" s="1">
        <v>1299</v>
      </c>
      <c r="G34" s="1">
        <v>1140</v>
      </c>
      <c r="H34" s="1">
        <v>1182</v>
      </c>
      <c r="I34" s="1">
        <v>1155</v>
      </c>
      <c r="J34" s="1">
        <v>1424</v>
      </c>
      <c r="K34" s="1">
        <v>1246</v>
      </c>
    </row>
    <row r="35" spans="1:11" ht="15" customHeight="1" x14ac:dyDescent="0.35">
      <c r="A35" s="2" t="s">
        <v>12</v>
      </c>
      <c r="B35" s="1">
        <v>110</v>
      </c>
      <c r="C35" s="1">
        <v>105</v>
      </c>
      <c r="D35" s="1">
        <v>108</v>
      </c>
      <c r="E35" s="1">
        <v>101</v>
      </c>
      <c r="F35" s="1">
        <v>102</v>
      </c>
      <c r="G35" s="1">
        <v>105</v>
      </c>
      <c r="H35" s="1">
        <v>106</v>
      </c>
      <c r="I35" s="1">
        <v>100</v>
      </c>
      <c r="J35" s="1">
        <v>105</v>
      </c>
      <c r="K35" s="1">
        <v>119</v>
      </c>
    </row>
    <row r="36" spans="1:11" ht="15" customHeight="1" x14ac:dyDescent="0.35">
      <c r="A36" s="2" t="s">
        <v>13</v>
      </c>
      <c r="B36" s="1">
        <v>10240</v>
      </c>
      <c r="C36" s="1">
        <v>9021</v>
      </c>
      <c r="D36" s="1">
        <v>9253</v>
      </c>
      <c r="E36" s="1">
        <v>9670</v>
      </c>
      <c r="F36" s="1">
        <v>9663</v>
      </c>
      <c r="G36" s="1">
        <v>9740</v>
      </c>
      <c r="H36" s="1">
        <v>10229</v>
      </c>
      <c r="I36" s="1">
        <v>9229</v>
      </c>
      <c r="J36" s="1">
        <v>10797</v>
      </c>
      <c r="K36" s="1">
        <v>11028</v>
      </c>
    </row>
    <row r="37" spans="1:11" ht="15" customHeight="1" x14ac:dyDescent="0.35">
      <c r="A37" s="2" t="s">
        <v>14</v>
      </c>
      <c r="B37" s="1">
        <v>2265</v>
      </c>
      <c r="C37" s="1">
        <v>2647</v>
      </c>
      <c r="D37" s="1">
        <v>2737</v>
      </c>
      <c r="E37" s="1">
        <v>2848</v>
      </c>
      <c r="F37" s="1">
        <v>2625</v>
      </c>
      <c r="G37" s="1">
        <v>2816</v>
      </c>
      <c r="H37" s="1">
        <v>2854</v>
      </c>
      <c r="I37" s="1">
        <v>2563</v>
      </c>
      <c r="J37" s="1">
        <v>2288</v>
      </c>
      <c r="K37" s="1">
        <v>3253</v>
      </c>
    </row>
    <row r="38" spans="1:11" ht="15" customHeight="1" x14ac:dyDescent="0.35">
      <c r="A38" s="2" t="s">
        <v>15</v>
      </c>
      <c r="B38" s="1">
        <v>7969</v>
      </c>
      <c r="C38" s="1">
        <v>6368</v>
      </c>
      <c r="D38" s="1">
        <v>6506</v>
      </c>
      <c r="E38" s="1">
        <v>6806</v>
      </c>
      <c r="F38" s="1">
        <v>7033</v>
      </c>
      <c r="G38" s="1">
        <v>6921</v>
      </c>
      <c r="H38" s="1">
        <v>7364</v>
      </c>
      <c r="I38" s="1">
        <v>6654</v>
      </c>
      <c r="J38" s="1">
        <v>8501</v>
      </c>
      <c r="K38" s="1">
        <v>7769</v>
      </c>
    </row>
    <row r="39" spans="1:11" ht="15" customHeight="1" x14ac:dyDescent="0.35">
      <c r="A39" s="2" t="s">
        <v>102</v>
      </c>
      <c r="B39" s="1">
        <v>8784</v>
      </c>
      <c r="C39" s="1">
        <v>9437</v>
      </c>
      <c r="D39" s="1">
        <v>9809</v>
      </c>
      <c r="E39" s="1">
        <v>10115</v>
      </c>
      <c r="F39" s="1">
        <v>9874</v>
      </c>
      <c r="G39" s="1">
        <v>9943</v>
      </c>
      <c r="H39" s="1">
        <v>10535</v>
      </c>
      <c r="I39" s="1">
        <v>10634</v>
      </c>
      <c r="J39" s="1">
        <v>11167</v>
      </c>
      <c r="K39" s="1">
        <v>11409</v>
      </c>
    </row>
    <row r="40" spans="1:11" ht="15" customHeight="1" x14ac:dyDescent="0.35"/>
    <row r="41" spans="1:11" ht="15" customHeight="1" x14ac:dyDescent="0.35">
      <c r="A41" s="18" t="s">
        <v>157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</row>
    <row r="42" spans="1:11" ht="15" customHeight="1" x14ac:dyDescent="0.35">
      <c r="A42" s="23" t="s">
        <v>148</v>
      </c>
      <c r="B42" s="22">
        <v>42825</v>
      </c>
      <c r="C42" s="22">
        <v>43190</v>
      </c>
      <c r="D42" s="22">
        <v>43555</v>
      </c>
      <c r="E42" s="22">
        <v>43921</v>
      </c>
      <c r="F42" s="22">
        <v>44286</v>
      </c>
      <c r="G42" s="22">
        <v>44651</v>
      </c>
      <c r="H42" s="22">
        <v>45016</v>
      </c>
      <c r="I42" s="22">
        <v>45382</v>
      </c>
      <c r="J42" s="22">
        <v>45747</v>
      </c>
      <c r="K42" s="22">
        <v>46112</v>
      </c>
    </row>
    <row r="43" spans="1:11" ht="15" customHeight="1" x14ac:dyDescent="0.35">
      <c r="A43" s="2" t="s">
        <v>120</v>
      </c>
      <c r="B43" s="1">
        <v>1144</v>
      </c>
      <c r="C43" s="1">
        <v>1088</v>
      </c>
      <c r="D43" s="1">
        <v>2170</v>
      </c>
      <c r="E43" s="1">
        <v>2122</v>
      </c>
      <c r="F43" s="1">
        <v>2124</v>
      </c>
      <c r="G43" s="1">
        <v>2098</v>
      </c>
      <c r="H43" s="1">
        <v>2069</v>
      </c>
      <c r="I43" s="1">
        <v>2071</v>
      </c>
      <c r="J43" s="1">
        <v>2073</v>
      </c>
      <c r="K43" s="1">
        <v>2024</v>
      </c>
    </row>
    <row r="44" spans="1:11" ht="15" customHeight="1" x14ac:dyDescent="0.35">
      <c r="A44" s="2" t="s">
        <v>121</v>
      </c>
      <c r="B44" s="1">
        <v>67838</v>
      </c>
      <c r="C44" s="1">
        <v>63835</v>
      </c>
      <c r="D44" s="1">
        <v>62778</v>
      </c>
      <c r="E44" s="1">
        <v>63328</v>
      </c>
      <c r="F44" s="1">
        <v>74227</v>
      </c>
      <c r="G44" s="1">
        <v>73252</v>
      </c>
      <c r="H44" s="1">
        <v>73338</v>
      </c>
      <c r="I44" s="1">
        <v>86045</v>
      </c>
      <c r="J44" s="1">
        <v>93745</v>
      </c>
      <c r="K44" s="1">
        <v>90828</v>
      </c>
    </row>
    <row r="45" spans="1:11" ht="15" customHeight="1" x14ac:dyDescent="0.35">
      <c r="A45" s="2" t="s">
        <v>22</v>
      </c>
      <c r="B45" s="1"/>
      <c r="C45" s="1"/>
      <c r="D45" s="1"/>
      <c r="E45" s="1">
        <v>4633</v>
      </c>
      <c r="F45" s="1">
        <v>5325</v>
      </c>
      <c r="G45" s="1">
        <v>5474</v>
      </c>
      <c r="H45" s="1">
        <v>8299</v>
      </c>
      <c r="I45" s="1">
        <v>8359</v>
      </c>
      <c r="J45" s="1">
        <v>8227</v>
      </c>
      <c r="K45" s="1">
        <v>9176</v>
      </c>
    </row>
    <row r="46" spans="1:11" ht="15" customHeight="1" x14ac:dyDescent="0.35">
      <c r="A46" s="2" t="s">
        <v>122</v>
      </c>
      <c r="B46" s="1">
        <v>14166</v>
      </c>
      <c r="C46" s="1">
        <v>14426</v>
      </c>
      <c r="D46" s="1">
        <v>19118</v>
      </c>
      <c r="E46" s="1">
        <v>21717</v>
      </c>
      <c r="F46" s="1">
        <v>25835</v>
      </c>
      <c r="G46" s="1">
        <v>35905</v>
      </c>
      <c r="H46" s="1">
        <v>40890</v>
      </c>
      <c r="I46" s="1">
        <v>39545</v>
      </c>
      <c r="J46" s="1">
        <v>43750</v>
      </c>
      <c r="K46" s="1">
        <v>52260</v>
      </c>
    </row>
    <row r="47" spans="1:11" ht="15" customHeight="1" x14ac:dyDescent="0.35">
      <c r="A47" s="2" t="s">
        <v>123</v>
      </c>
      <c r="B47" s="1">
        <v>83148</v>
      </c>
      <c r="C47" s="1">
        <v>79349</v>
      </c>
      <c r="D47" s="1">
        <v>84066</v>
      </c>
      <c r="E47" s="1">
        <v>91800</v>
      </c>
      <c r="F47" s="1">
        <v>107511</v>
      </c>
      <c r="G47" s="1">
        <v>116729</v>
      </c>
      <c r="H47" s="1">
        <v>124596</v>
      </c>
      <c r="I47" s="1">
        <v>136020</v>
      </c>
      <c r="J47" s="1">
        <v>147795</v>
      </c>
      <c r="K47" s="1">
        <v>154288</v>
      </c>
    </row>
    <row r="48" spans="1:11" ht="15" customHeight="1" x14ac:dyDescent="0.35">
      <c r="A48" s="2" t="s">
        <v>124</v>
      </c>
      <c r="B48" s="1">
        <v>14179</v>
      </c>
      <c r="C48" s="1">
        <v>12574</v>
      </c>
      <c r="D48" s="1">
        <v>15710</v>
      </c>
      <c r="E48" s="1">
        <v>23789</v>
      </c>
      <c r="F48" s="1">
        <v>25505</v>
      </c>
      <c r="G48" s="1">
        <v>25800</v>
      </c>
      <c r="H48" s="1">
        <v>29225</v>
      </c>
      <c r="I48" s="1">
        <v>27622</v>
      </c>
      <c r="J48" s="1">
        <v>30961</v>
      </c>
      <c r="K48" s="1">
        <v>33770</v>
      </c>
    </row>
    <row r="49" spans="1:11" ht="15" customHeight="1" x14ac:dyDescent="0.35">
      <c r="A49" s="2" t="s">
        <v>125</v>
      </c>
      <c r="B49" s="1">
        <v>1365</v>
      </c>
      <c r="C49" s="1">
        <v>1606</v>
      </c>
      <c r="D49" s="1">
        <v>1388</v>
      </c>
      <c r="E49" s="1">
        <v>954</v>
      </c>
      <c r="F49" s="1">
        <v>922</v>
      </c>
      <c r="G49" s="1">
        <v>416</v>
      </c>
      <c r="H49" s="1">
        <v>288</v>
      </c>
      <c r="I49" s="1">
        <v>293</v>
      </c>
      <c r="J49" s="1">
        <v>814</v>
      </c>
      <c r="K49" s="1">
        <v>526</v>
      </c>
    </row>
    <row r="50" spans="1:11" ht="15" customHeight="1" x14ac:dyDescent="0.35">
      <c r="A50" s="2" t="s">
        <v>18</v>
      </c>
      <c r="B50" s="1">
        <v>16423</v>
      </c>
      <c r="C50" s="1">
        <v>12163</v>
      </c>
      <c r="D50" s="1">
        <v>11261</v>
      </c>
      <c r="E50" s="1">
        <v>8792</v>
      </c>
      <c r="F50" s="1">
        <v>14205</v>
      </c>
      <c r="G50" s="1">
        <v>20324</v>
      </c>
      <c r="H50" s="1">
        <v>19478</v>
      </c>
      <c r="I50" s="1">
        <v>24623</v>
      </c>
      <c r="J50" s="1">
        <v>23541</v>
      </c>
      <c r="K50" s="1">
        <v>21880</v>
      </c>
    </row>
    <row r="51" spans="1:11" ht="15" customHeight="1" x14ac:dyDescent="0.35">
      <c r="A51" s="2" t="s">
        <v>126</v>
      </c>
      <c r="B51" s="1">
        <v>51181</v>
      </c>
      <c r="C51" s="1">
        <v>53006</v>
      </c>
      <c r="D51" s="1">
        <v>55707</v>
      </c>
      <c r="E51" s="1">
        <v>58265</v>
      </c>
      <c r="F51" s="1">
        <v>66879</v>
      </c>
      <c r="G51" s="1">
        <v>70189</v>
      </c>
      <c r="H51" s="1">
        <v>75605</v>
      </c>
      <c r="I51" s="1">
        <v>83482</v>
      </c>
      <c r="J51" s="1">
        <v>92479</v>
      </c>
      <c r="K51" s="1">
        <v>98112</v>
      </c>
    </row>
    <row r="52" spans="1:11" ht="15" customHeight="1" x14ac:dyDescent="0.35">
      <c r="A52" s="2" t="s">
        <v>123</v>
      </c>
      <c r="B52" s="1">
        <v>83148</v>
      </c>
      <c r="C52" s="1">
        <v>79349</v>
      </c>
      <c r="D52" s="1">
        <v>84066</v>
      </c>
      <c r="E52" s="1">
        <v>91800</v>
      </c>
      <c r="F52" s="1">
        <v>107511</v>
      </c>
      <c r="G52" s="1">
        <v>116729</v>
      </c>
      <c r="H52" s="1">
        <v>124596</v>
      </c>
      <c r="I52" s="1">
        <v>136020</v>
      </c>
      <c r="J52" s="1">
        <v>147795</v>
      </c>
      <c r="K52" s="1">
        <v>154288</v>
      </c>
    </row>
    <row r="53" spans="1:11" ht="15" customHeight="1" x14ac:dyDescent="0.35">
      <c r="A53" s="2" t="s">
        <v>19</v>
      </c>
      <c r="B53" s="1">
        <v>12322</v>
      </c>
      <c r="C53" s="1">
        <v>13142</v>
      </c>
      <c r="D53" s="1">
        <v>14827</v>
      </c>
      <c r="E53" s="1">
        <v>18487</v>
      </c>
      <c r="F53" s="1">
        <v>19294</v>
      </c>
      <c r="G53" s="1">
        <v>22698</v>
      </c>
      <c r="H53" s="1">
        <v>25424</v>
      </c>
      <c r="I53" s="1">
        <v>30193</v>
      </c>
      <c r="J53" s="1">
        <v>31158</v>
      </c>
      <c r="K53" s="1">
        <v>35234</v>
      </c>
    </row>
    <row r="54" spans="1:11" ht="15" customHeight="1" x14ac:dyDescent="0.35">
      <c r="A54" s="2" t="s">
        <v>129</v>
      </c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15" customHeight="1" x14ac:dyDescent="0.35">
      <c r="A55" s="2" t="s">
        <v>158</v>
      </c>
      <c r="B55" s="1">
        <v>22625</v>
      </c>
      <c r="C55" s="1">
        <v>19818</v>
      </c>
      <c r="D55" s="1">
        <v>19568</v>
      </c>
      <c r="E55" s="1">
        <v>18649</v>
      </c>
      <c r="F55" s="1">
        <v>24714</v>
      </c>
      <c r="G55" s="1">
        <v>17472</v>
      </c>
      <c r="H55" s="1">
        <v>12173</v>
      </c>
      <c r="I55" s="1">
        <v>14786</v>
      </c>
      <c r="J55" s="1">
        <v>24455</v>
      </c>
      <c r="K55" s="1">
        <v>22201</v>
      </c>
    </row>
    <row r="56" spans="1:11" ht="15" customHeight="1" x14ac:dyDescent="0.35">
      <c r="A56" s="2" t="s">
        <v>159</v>
      </c>
      <c r="B56" s="1">
        <v>2285655150</v>
      </c>
      <c r="C56" s="1">
        <v>2173312301</v>
      </c>
      <c r="D56" s="1">
        <v>4335954462</v>
      </c>
      <c r="E56" s="1">
        <v>4240753210</v>
      </c>
      <c r="F56" s="1">
        <v>4245146114</v>
      </c>
      <c r="G56" s="1">
        <v>4193012929</v>
      </c>
      <c r="H56" s="1">
        <v>4136387925</v>
      </c>
      <c r="I56" s="1">
        <v>4139950635</v>
      </c>
      <c r="J56" s="1">
        <v>4143607528</v>
      </c>
      <c r="K56" s="1">
        <v>4046940812</v>
      </c>
    </row>
    <row r="57" spans="1:11" ht="15" customHeight="1" x14ac:dyDescent="0.35">
      <c r="A57" s="2" t="s">
        <v>160</v>
      </c>
      <c r="B57" s="1"/>
      <c r="C57" s="1"/>
      <c r="D57" s="1">
        <v>2184191490</v>
      </c>
      <c r="E57" s="1"/>
      <c r="F57" s="1"/>
      <c r="G57" s="1"/>
      <c r="H57" s="1"/>
      <c r="I57" s="1"/>
      <c r="J57" s="1"/>
      <c r="K57" s="1"/>
    </row>
    <row r="58" spans="1:11" ht="15" customHeight="1" x14ac:dyDescent="0.35">
      <c r="A58" s="2" t="s">
        <v>161</v>
      </c>
      <c r="B58" s="1">
        <v>5</v>
      </c>
      <c r="C58" s="1">
        <v>5</v>
      </c>
      <c r="D58" s="1">
        <v>5</v>
      </c>
      <c r="E58" s="1">
        <v>5</v>
      </c>
      <c r="F58" s="1">
        <v>5</v>
      </c>
      <c r="G58" s="1">
        <v>5</v>
      </c>
      <c r="H58" s="1">
        <v>5</v>
      </c>
      <c r="I58" s="1">
        <v>5</v>
      </c>
      <c r="J58" s="1">
        <v>5</v>
      </c>
      <c r="K58" s="1">
        <v>5</v>
      </c>
    </row>
    <row r="59" spans="1:11" ht="15" customHeight="1" x14ac:dyDescent="0.35"/>
    <row r="60" spans="1:11" ht="15" customHeight="1" x14ac:dyDescent="0.35"/>
    <row r="61" spans="1:11" ht="15" customHeight="1" x14ac:dyDescent="0.35"/>
    <row r="62" spans="1:11" ht="15" customHeight="1" x14ac:dyDescent="0.35"/>
    <row r="63" spans="1:11" ht="15" customHeight="1" x14ac:dyDescent="0.35"/>
    <row r="64" spans="1:11" ht="15" customHeight="1" x14ac:dyDescent="0.35"/>
    <row r="65" spans="1:11" ht="15" customHeight="1" x14ac:dyDescent="0.35"/>
    <row r="66" spans="1:11" ht="15" customHeight="1" x14ac:dyDescent="0.35"/>
    <row r="67" spans="1:11" ht="15" customHeight="1" x14ac:dyDescent="0.35"/>
    <row r="68" spans="1:11" ht="15" customHeight="1" x14ac:dyDescent="0.35"/>
    <row r="69" spans="1:11" ht="15" customHeight="1" x14ac:dyDescent="0.35"/>
    <row r="70" spans="1:11" ht="15" customHeight="1" x14ac:dyDescent="0.35"/>
    <row r="71" spans="1:11" ht="15" customHeight="1" x14ac:dyDescent="0.35"/>
    <row r="72" spans="1:11" ht="15" customHeight="1" x14ac:dyDescent="0.35"/>
    <row r="73" spans="1:11" ht="15" customHeight="1" x14ac:dyDescent="0.3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</row>
    <row r="74" spans="1:11" ht="15" customHeight="1" x14ac:dyDescent="0.35">
      <c r="A74" s="14"/>
      <c r="B74" s="12"/>
      <c r="C74" s="12"/>
      <c r="D74" s="12"/>
      <c r="E74" s="12"/>
      <c r="F74" s="12"/>
      <c r="G74" s="12"/>
      <c r="H74" s="12"/>
      <c r="I74" s="12"/>
      <c r="J74" s="12"/>
      <c r="K74" s="12"/>
    </row>
    <row r="75" spans="1:11" ht="15" customHeight="1" x14ac:dyDescent="0.35">
      <c r="A75" s="14"/>
      <c r="B75" s="12"/>
      <c r="C75" s="12"/>
      <c r="D75" s="12"/>
      <c r="E75" s="12"/>
      <c r="F75" s="12"/>
      <c r="G75" s="12"/>
      <c r="H75" s="12"/>
      <c r="I75" s="12"/>
      <c r="J75" s="12"/>
      <c r="K75" s="12"/>
    </row>
    <row r="76" spans="1:11" ht="15" customHeight="1" x14ac:dyDescent="0.35">
      <c r="A76" s="14"/>
      <c r="B76" s="12"/>
      <c r="C76" s="12"/>
      <c r="D76" s="12"/>
      <c r="E76" s="12"/>
      <c r="F76" s="12"/>
      <c r="G76" s="12"/>
      <c r="H76" s="12"/>
      <c r="I76" s="12"/>
      <c r="J76" s="12"/>
      <c r="K76" s="12"/>
    </row>
    <row r="77" spans="1:11" ht="15" customHeight="1" x14ac:dyDescent="0.35">
      <c r="A77" s="14"/>
      <c r="B77" s="12"/>
      <c r="C77" s="12"/>
      <c r="D77" s="12"/>
      <c r="E77" s="12"/>
      <c r="F77" s="12"/>
      <c r="G77" s="12"/>
      <c r="H77" s="12"/>
      <c r="I77" s="12"/>
      <c r="J77" s="12"/>
      <c r="K77" s="12"/>
    </row>
    <row r="78" spans="1:11" ht="15" customHeight="1" x14ac:dyDescent="0.35">
      <c r="A78" s="14"/>
      <c r="B78" s="12"/>
      <c r="C78" s="12"/>
      <c r="D78" s="12"/>
      <c r="E78" s="12"/>
      <c r="F78" s="12"/>
      <c r="G78" s="12"/>
      <c r="H78" s="12"/>
      <c r="I78" s="12"/>
      <c r="J78" s="12"/>
      <c r="K78" s="12"/>
    </row>
    <row r="79" spans="1:11" ht="15" customHeight="1" x14ac:dyDescent="0.35">
      <c r="A79" s="14"/>
      <c r="B79" s="12"/>
      <c r="C79" s="12"/>
      <c r="D79" s="12"/>
      <c r="E79" s="12"/>
      <c r="F79" s="12"/>
      <c r="G79" s="12"/>
      <c r="H79" s="12"/>
      <c r="I79" s="12"/>
      <c r="J79" s="12"/>
      <c r="K79" s="12"/>
    </row>
    <row r="80" spans="1:11" ht="15" customHeight="1" x14ac:dyDescent="0.35">
      <c r="A80" s="13" t="s">
        <v>162</v>
      </c>
      <c r="B80" s="12"/>
      <c r="C80" s="12"/>
      <c r="D80" s="12"/>
      <c r="E80" s="12"/>
      <c r="F80" s="12"/>
      <c r="G80" s="12"/>
      <c r="H80" s="12"/>
      <c r="I80" s="12"/>
      <c r="J80" s="12"/>
      <c r="K80" s="12"/>
    </row>
    <row r="81" spans="1:11" ht="15" customHeight="1" x14ac:dyDescent="0.35">
      <c r="A81" s="10" t="s">
        <v>148</v>
      </c>
      <c r="B81" s="16">
        <v>42825</v>
      </c>
      <c r="C81" s="16">
        <v>43190</v>
      </c>
      <c r="D81" s="16">
        <v>43555</v>
      </c>
      <c r="E81" s="16">
        <v>43921</v>
      </c>
      <c r="F81" s="16">
        <v>44286</v>
      </c>
      <c r="G81" s="16">
        <v>44651</v>
      </c>
      <c r="H81" s="16">
        <v>45016</v>
      </c>
      <c r="I81" s="16">
        <v>45382</v>
      </c>
      <c r="J81" s="16">
        <v>45747</v>
      </c>
      <c r="K81" s="16">
        <v>46112</v>
      </c>
    </row>
    <row r="82" spans="1:11" ht="15" customHeight="1" x14ac:dyDescent="0.35">
      <c r="A82" s="2" t="s">
        <v>134</v>
      </c>
      <c r="B82" s="1">
        <v>11531</v>
      </c>
      <c r="C82" s="1">
        <v>13218</v>
      </c>
      <c r="D82" s="1">
        <v>14841</v>
      </c>
      <c r="E82" s="1">
        <v>17003</v>
      </c>
      <c r="F82" s="1">
        <v>23224</v>
      </c>
      <c r="G82" s="1">
        <v>23885</v>
      </c>
      <c r="H82" s="1">
        <v>22467</v>
      </c>
      <c r="I82" s="1">
        <v>25210</v>
      </c>
      <c r="J82" s="1">
        <v>35694</v>
      </c>
      <c r="K82" s="1">
        <v>33986</v>
      </c>
    </row>
    <row r="83" spans="1:11" ht="15" customHeight="1" x14ac:dyDescent="0.35">
      <c r="A83" s="2" t="s">
        <v>135</v>
      </c>
      <c r="B83" s="1">
        <v>-14664</v>
      </c>
      <c r="C83" s="1">
        <v>4533</v>
      </c>
      <c r="D83" s="1">
        <v>-632</v>
      </c>
      <c r="E83" s="1">
        <v>-331</v>
      </c>
      <c r="F83" s="1">
        <v>-7373</v>
      </c>
      <c r="G83" s="1">
        <v>-6485</v>
      </c>
      <c r="H83" s="1">
        <v>-1071</v>
      </c>
      <c r="I83" s="1">
        <v>-5093</v>
      </c>
      <c r="J83" s="1">
        <v>-1864</v>
      </c>
      <c r="K83" s="1">
        <v>3546</v>
      </c>
    </row>
    <row r="84" spans="1:11" ht="15" customHeight="1" x14ac:dyDescent="0.35">
      <c r="A84" s="2" t="s">
        <v>136</v>
      </c>
      <c r="B84" s="1">
        <v>-6939</v>
      </c>
      <c r="C84" s="1">
        <v>-20505</v>
      </c>
      <c r="D84" s="1">
        <v>-14512</v>
      </c>
      <c r="E84" s="1">
        <v>-17591</v>
      </c>
      <c r="F84" s="1">
        <v>-9786</v>
      </c>
      <c r="G84" s="1">
        <v>-24642</v>
      </c>
      <c r="H84" s="1">
        <v>-26695</v>
      </c>
      <c r="I84" s="1">
        <v>-17504</v>
      </c>
      <c r="J84" s="1">
        <v>-24161</v>
      </c>
      <c r="K84" s="1">
        <v>-39786</v>
      </c>
    </row>
    <row r="85" spans="1:11" ht="15" customHeight="1" x14ac:dyDescent="0.35">
      <c r="A85" s="2" t="s">
        <v>137</v>
      </c>
      <c r="B85" s="1">
        <v>-10072</v>
      </c>
      <c r="C85" s="1">
        <v>-2754</v>
      </c>
      <c r="D85" s="1">
        <v>-303</v>
      </c>
      <c r="E85" s="1">
        <v>-919</v>
      </c>
      <c r="F85" s="1">
        <v>6065</v>
      </c>
      <c r="G85" s="1">
        <v>-7242</v>
      </c>
      <c r="H85" s="1">
        <v>-5299</v>
      </c>
      <c r="I85" s="1">
        <v>2613</v>
      </c>
      <c r="J85" s="1">
        <v>9669</v>
      </c>
      <c r="K85" s="1">
        <v>-2254</v>
      </c>
    </row>
    <row r="86" spans="1:11" ht="15" customHeight="1" x14ac:dyDescent="0.35">
      <c r="A86" s="14"/>
      <c r="B86" s="12"/>
      <c r="C86" s="12"/>
      <c r="D86" s="12"/>
      <c r="E86" s="12"/>
      <c r="F86" s="12"/>
      <c r="G86" s="12"/>
      <c r="H86" s="12"/>
      <c r="I86" s="12"/>
      <c r="J86" s="12"/>
      <c r="K86" s="12"/>
    </row>
    <row r="87" spans="1:11" ht="15" customHeight="1" x14ac:dyDescent="0.35">
      <c r="A87" s="14"/>
      <c r="B87" s="12"/>
      <c r="C87" s="12"/>
      <c r="D87" s="12"/>
      <c r="E87" s="12"/>
      <c r="F87" s="12"/>
      <c r="G87" s="12"/>
      <c r="H87" s="12"/>
      <c r="I87" s="12"/>
      <c r="J87" s="12"/>
      <c r="K87" s="12"/>
    </row>
    <row r="88" spans="1:11" ht="15" customHeight="1" x14ac:dyDescent="0.35">
      <c r="A88" s="14"/>
      <c r="B88" s="12"/>
      <c r="C88" s="12"/>
      <c r="D88" s="12"/>
      <c r="E88" s="12"/>
      <c r="F88" s="12"/>
      <c r="G88" s="12"/>
      <c r="H88" s="12"/>
      <c r="I88" s="12"/>
      <c r="J88" s="12"/>
      <c r="K88" s="12"/>
    </row>
    <row r="89" spans="1:11" ht="15" customHeight="1" x14ac:dyDescent="0.35">
      <c r="A89" s="14"/>
      <c r="B89" s="12"/>
      <c r="C89" s="12"/>
      <c r="D89" s="12"/>
      <c r="E89" s="12"/>
      <c r="F89" s="12"/>
      <c r="G89" s="12"/>
      <c r="H89" s="12"/>
      <c r="I89" s="12"/>
      <c r="J89" s="12"/>
      <c r="K89" s="12"/>
    </row>
    <row r="90" spans="1:11" ht="15" customHeight="1" x14ac:dyDescent="0.35">
      <c r="A90" s="2" t="s">
        <v>163</v>
      </c>
      <c r="B90" s="1">
        <v>511.13</v>
      </c>
      <c r="C90" s="1">
        <v>565.9</v>
      </c>
      <c r="D90" s="1">
        <v>743.85</v>
      </c>
      <c r="E90" s="1">
        <v>641.5</v>
      </c>
      <c r="F90" s="1">
        <v>1368.05</v>
      </c>
      <c r="G90" s="1">
        <v>1906.85</v>
      </c>
      <c r="H90" s="1">
        <v>1427.95</v>
      </c>
      <c r="I90" s="1">
        <v>1498.05</v>
      </c>
      <c r="J90" s="1">
        <v>1570.65</v>
      </c>
      <c r="K90" s="1">
        <v>1250.5999999999999</v>
      </c>
    </row>
    <row r="91" spans="1:11" ht="1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5" customHeight="1" x14ac:dyDescent="0.35">
      <c r="A92" s="2" t="s">
        <v>164</v>
      </c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5" customHeight="1" x14ac:dyDescent="0.35">
      <c r="A93" s="2" t="s">
        <v>165</v>
      </c>
      <c r="B93" s="11">
        <v>459.39</v>
      </c>
      <c r="C93" s="11">
        <v>436.82</v>
      </c>
      <c r="D93" s="11">
        <v>436.89</v>
      </c>
      <c r="E93" s="11">
        <v>425.9</v>
      </c>
      <c r="F93" s="11">
        <v>426.07</v>
      </c>
      <c r="G93" s="11">
        <v>420.67</v>
      </c>
      <c r="H93" s="11">
        <v>414.86</v>
      </c>
      <c r="I93" s="11">
        <v>415.09</v>
      </c>
      <c r="J93" s="11">
        <v>415.33</v>
      </c>
      <c r="K93" s="11">
        <v>405.56</v>
      </c>
    </row>
  </sheetData>
  <mergeCells count="1">
    <mergeCell ref="E1:K1"/>
  </mergeCells>
  <pageMargins left="0.7" right="0.7" top="0.75" bottom="0.75" header="0.511811023622047" footer="0.3"/>
  <pageSetup orientation="portrait" horizontalDpi="300" verticalDpi="300"/>
  <headerFooter>
    <oddFooter>&amp;C&amp;"Helvetica Neue,Regular"&amp;12 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B621ADAECC7546AD06266EB96F57AD" ma:contentTypeVersion="5" ma:contentTypeDescription="Create a new document." ma:contentTypeScope="" ma:versionID="0f724e698f7f7ac88a2e3bb097a8ba87">
  <xsd:schema xmlns:xsd="http://www.w3.org/2001/XMLSchema" xmlns:xs="http://www.w3.org/2001/XMLSchema" xmlns:p="http://schemas.microsoft.com/office/2006/metadata/properties" xmlns:ns3="5394a4d0-a1b4-4c47-9858-37d27ffad743" targetNamespace="http://schemas.microsoft.com/office/2006/metadata/properties" ma:root="true" ma:fieldsID="2b786086a82c001c3c2bf9f64bb69e3f" ns3:_="">
    <xsd:import namespace="5394a4d0-a1b4-4c47-9858-37d27ffad74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4a4d0-a1b4-4c47-9858-37d27ffad74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394a4d0-a1b4-4c47-9858-37d27ffad743" xsi:nil="true"/>
  </documentManagement>
</p:properties>
</file>

<file path=customXml/itemProps1.xml><?xml version="1.0" encoding="utf-8"?>
<ds:datastoreItem xmlns:ds="http://schemas.openxmlformats.org/officeDocument/2006/customXml" ds:itemID="{3D1F6453-28D3-45A7-8974-DAD672231E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94a4d0-a1b4-4c47-9858-37d27ffad7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C878E07-8FB6-49C0-A905-418CB770213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62FE074-C93A-4B1E-8DF7-2EFFFDD9FAAF}">
  <ds:schemaRefs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www.w3.org/XML/1998/namespace"/>
    <ds:schemaRef ds:uri="http://schemas.microsoft.com/office/infopath/2007/PartnerControls"/>
    <ds:schemaRef ds:uri="5394a4d0-a1b4-4c47-9858-37d27ffad743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DCF</vt:lpstr>
      <vt:lpstr>Profit &amp; Loss</vt:lpstr>
      <vt:lpstr>Quarters</vt:lpstr>
      <vt:lpstr>Balance Sheet</vt:lpstr>
      <vt:lpstr>Cash Flow</vt:lpstr>
      <vt:lpstr>Data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Dr Juhi Kohli</cp:lastModifiedBy>
  <cp:revision>0</cp:revision>
  <dcterms:created xsi:type="dcterms:W3CDTF">2026-10-03T10:56:59Z</dcterms:created>
  <dcterms:modified xsi:type="dcterms:W3CDTF">2026-10-03T18:34:33Z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0x0101009AB621ADAECC7546AD06266EB96F57AD</vt:lpwstr>
  </property>
</Properties>
</file>